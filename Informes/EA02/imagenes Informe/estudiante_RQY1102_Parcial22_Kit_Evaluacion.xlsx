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gnacio\Downloads\"/>
    </mc:Choice>
  </mc:AlternateContent>
  <xr:revisionPtr revIDLastSave="0" documentId="13_ncr:1_{3B0BFAAB-1F5F-4262-B6FE-231B537FEEF7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Checklist Estudiante" sheetId="2" r:id="rId1"/>
    <sheet name="Coevaluación" sheetId="6" r:id="rId2"/>
    <sheet name="Tabla Conversión" sheetId="5" r:id="rId3"/>
    <sheet name="Planilla Evaluación" sheetId="1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9" i="1"/>
  <c r="J8" i="1"/>
  <c r="J7" i="1"/>
  <c r="J15" i="1" s="1"/>
  <c r="J16" i="1" s="1"/>
</calcChain>
</file>

<file path=xl/sharedStrings.xml><?xml version="1.0" encoding="utf-8"?>
<sst xmlns="http://schemas.openxmlformats.org/spreadsheetml/2006/main" count="289" uniqueCount="179">
  <si>
    <t>PLANILLA DE EVALUACIÓN — Evaluación Parcial N° 2.2 – Modelamiento de Arquitectura del Software</t>
  </si>
  <si>
    <t>RQY1102 – Ingeniería de Software  |  Ponderación asignatura: 25%  |  Grupo: máx. 3 estudiantes  |  Mayo 2026</t>
  </si>
  <si>
    <t>Nombre(s) Estudiante(s):</t>
  </si>
  <si>
    <t>Sección:</t>
  </si>
  <si>
    <t>Encargo (grupal): 30% del parcial  ·  Presentación (individual): 70% del parcial  ·  5 niveles: Muy buen (100%) · Buen (80%) · Aceptable (60%) · Incipiente (30%) · No logrado (0%)</t>
  </si>
  <si>
    <t>IE</t>
  </si>
  <si>
    <t>Indicador de Evaluación</t>
  </si>
  <si>
    <t>Pond.%</t>
  </si>
  <si>
    <t>Muy buen
(100%)</t>
  </si>
  <si>
    <t>Buen
(80%)</t>
  </si>
  <si>
    <t>Aceptable
(60%)</t>
  </si>
  <si>
    <t>Incipiente
(30%)</t>
  </si>
  <si>
    <t>No logrado
(0%)</t>
  </si>
  <si>
    <t>Nivel ▼</t>
  </si>
  <si>
    <t>Puntaje</t>
  </si>
  <si>
    <t>Obs.</t>
  </si>
  <si>
    <t>SITUACIÓN EVALUATIVA 1 — ENCARGO  (grupal · 30% del parcial)</t>
  </si>
  <si>
    <t>IE2.1.1</t>
  </si>
  <si>
    <t>Aplica técnicas de modelamiento de software para representar la arquitectura y diseño del sistema usando estándares de UML, promoviendo una base sólida para el desarrollo y la integración.</t>
  </si>
  <si>
    <t>Aplica exhaustiva y precisamente técnicas UML; demuestra comprensión profunda de cómo los modelos promueven integración.</t>
  </si>
  <si>
    <t>Aplica técnicas UML con pequeñas omisiones o errores menores.</t>
  </si>
  <si>
    <t>Aplica técnicas UML con omisiones, dificultades o errores.</t>
  </si>
  <si>
    <t>Aplica técnicas UML pero con omisiones importantes que no evidencian el logro básico.</t>
  </si>
  <si>
    <t>No aplica técnicas UML o lo hace de forma incorrecta.</t>
  </si>
  <si>
    <t>IE2.2.1</t>
  </si>
  <si>
    <t>Utiliza patrones de diseño de software, como 4+1, y/o estilos arquitectónicos para modelar los requerimientos del proyecto y lograr soluciones arquitectónicas adaptativas.</t>
  </si>
  <si>
    <t>Utiliza de forma precisa los patrones 4+1; demuestra sólida comprensión de su aplicación.</t>
  </si>
  <si>
    <t>Utiliza patrones 4+1 con pequeñas omisiones, dificultades y/o errores.</t>
  </si>
  <si>
    <t>Utiliza patrones 4+1 con omisiones, dificultades o errores.</t>
  </si>
  <si>
    <t>Utiliza patrones 4+1 pero con omisiones importantes que no evidencian el logro básico.</t>
  </si>
  <si>
    <t>No utiliza patrones de diseño, o lo hace de forma incorrecta.</t>
  </si>
  <si>
    <t>IE2.3.1</t>
  </si>
  <si>
    <t>Define estándares de calidad en el diseño de software, de acuerdo con los fundamentos de la ingeniería de software, contribuyendo a la calidad del software.</t>
  </si>
  <si>
    <t>Define precisamente estándares de calidad; demuestra conocimiento de su importancia.</t>
  </si>
  <si>
    <t>Define estándares de calidad con pequeñas omisiones, dificultades y/o errores.</t>
  </si>
  <si>
    <t>Define estándares de calidad con omisiones, dificultades o errores.</t>
  </si>
  <si>
    <t>Define estándares de calidad pero con omisiones importantes que no evidencian el logro básico.</t>
  </si>
  <si>
    <t>No define estándares de calidad, o lo hace de forma incorrecta.</t>
  </si>
  <si>
    <t>SITUACIÓN EVALUATIVA 2 — PRESENTACIÓN  (individual · 70% del parcial)</t>
  </si>
  <si>
    <t>IE2.1.2</t>
  </si>
  <si>
    <t>Expone técnicas de modelamiento de software para representar la arquitectura y diseño del sistema usando estándares de UML, promoviendo una base sólida para el desarrollo y la integración.</t>
  </si>
  <si>
    <t>Expone con dominio las técnicas UML; aplica de manera precisa y coherente los estándares.</t>
  </si>
  <si>
    <t>Expone técnicas UML con pequeñas omisiones, dificultades y/o errores.</t>
  </si>
  <si>
    <t>Expone técnicas UML con omisiones, dificultades o errores.</t>
  </si>
  <si>
    <t>Expone técnicas UML pero con omisiones importantes que no evidencian el logro básico.</t>
  </si>
  <si>
    <t>No expone técnicas UML, o lo hace de forma incorrecta.</t>
  </si>
  <si>
    <t>IE2.2.2</t>
  </si>
  <si>
    <t>Explica los patrones de diseño 4+1 utilizados en el proyecto para el desarrollo de aplicaciones informáticas.</t>
  </si>
  <si>
    <t>Explica los patrones 4+1 de forma asertiva; demuestra conocimiento de su aplicación y contribución.</t>
  </si>
  <si>
    <t>Explica los patrones 4+1 mostrando comprensión, con pequeñas omisiones y/o errores.</t>
  </si>
  <si>
    <t>Explica los patrones 4+1 con omisiones, dificultades o errores.</t>
  </si>
  <si>
    <t>Explica los patrones 4+1 con omisiones importantes que no evidencian el logro básico.</t>
  </si>
  <si>
    <t>No logra explicar los patrones 4+1, o lo hace de forma incorrecta.</t>
  </si>
  <si>
    <t>IE2.2.3</t>
  </si>
  <si>
    <t>Explica los diagramas UML utilizados en el proyecto (Clase, Componentes, Actividad, Despliegue y Caso de Uso, según corresponda) para el desarrollo de aplicaciones informáticas.</t>
  </si>
  <si>
    <t>Explica todos los diagramas UML con dominio en las técnicas de modelamiento.</t>
  </si>
  <si>
    <t>Explica los diagramas UML omitiendo uno, o con pequeñas omisiones y/o errores.</t>
  </si>
  <si>
    <t>Explica los diagramas UML con omisiones, dificultades o errores.</t>
  </si>
  <si>
    <t>Explica los diagramas UML con omisiones importantes que no evidencian el logro básico.</t>
  </si>
  <si>
    <t>No explica los diagramas UML, o lo hace de forma incorrecta.</t>
  </si>
  <si>
    <t>IE2.3.2</t>
  </si>
  <si>
    <t>Argumenta los estándares de calidad aplicados en el diseño de software, de acuerdo con los fundamentos de la ingeniería de software, contribuyendo a la calidad del software.</t>
  </si>
  <si>
    <t>Argumenta de forma coherente los estándares de calidad; demuestra conocimiento de fundamentos IS.</t>
  </si>
  <si>
    <t>Argumenta estándares de calidad omitiendo un principio o con pequeñas dificultades y/o errores.</t>
  </si>
  <si>
    <t>Argumenta estándares de calidad con omisiones, dificultades o errores.</t>
  </si>
  <si>
    <t>Argumenta estándares de calidad con omisiones importantes que no evidencian el logro básico.</t>
  </si>
  <si>
    <t>No argumenta estándares de calidad, o lo hace de forma incorrecta.</t>
  </si>
  <si>
    <t>PUNTAJE TOTAL (sobre 100)</t>
  </si>
  <si>
    <t>NOTA FINAL (escala 1.0 – 7.0)</t>
  </si>
  <si>
    <t>La Situación 1 (Encargo) se evalúa de forma grupal · La Situación 2 (Presentación) se evalúa de forma individual · Basado en DUOC UC | Elaborado por Mallén González | Con ayuda de Claude Sonnet</t>
  </si>
  <si>
    <t>CHECKLIST DE AUTOEVALUACIÓN — ESTUDIANTE</t>
  </si>
  <si>
    <t>Evaluación Parcial N° 2.2 – Modelamiento de Arquitectura del Software  |  RQY1102 – Ingeniería de Software  |  Completa ANTES de entregar el encargo y de la presentación</t>
  </si>
  <si>
    <t>Situación / IE</t>
  </si>
  <si>
    <t>Nivel requerido</t>
  </si>
  <si>
    <t>Ítem de verificación</t>
  </si>
  <si>
    <t>✓/✗</t>
  </si>
  <si>
    <t>Observación personal</t>
  </si>
  <si>
    <t xml:space="preserve">  SITUACIÓN EVALUATIVA 1 — ENCARGO  (grupal)</t>
  </si>
  <si>
    <t xml:space="preserve">  IE2.1.1 – Técnicas UML (Encargo)</t>
  </si>
  <si>
    <t>Mínimo requerido</t>
  </si>
  <si>
    <t>□  Apliqué diagramas UML que representan tanto la arquitectura como el diseño del sistema.</t>
  </si>
  <si>
    <t>□  Los diagramas cumplen con los estándares de notación UML (sintaxis y semántica correctas).</t>
  </si>
  <si>
    <t>□  La relación entre los diagramas es coherente y promueve la integración del sistema.</t>
  </si>
  <si>
    <t>Nivel excelente</t>
  </si>
  <si>
    <t>□  Justifiqué la elección de cada técnica UML en relación con los requerimientos del proyecto.</t>
  </si>
  <si>
    <t>□  Los diagramas se exportaron en herramienta profesional (StarUML, Diagrams.net, Visio o Bizagi).</t>
  </si>
  <si>
    <t xml:space="preserve">  IE2.2.1 – Patrones 4+1 y arquitectura (Encargo)</t>
  </si>
  <si>
    <t>□  Incluí al menos 4 de los 5 diagramas del patrón 4+1 (Clase, Componentes, Actividad, Despliegue, Caso de Uso).</t>
  </si>
  <si>
    <t>□  Cada diagrama corresponde a la vista correcta del patrón 4+1.</t>
  </si>
  <si>
    <t>□  Las soluciones arquitectónicas son coherentes con los requerimientos del proyecto.</t>
  </si>
  <si>
    <t>□  Los 5 diagramas 4+1 están presentes y correctamente vinculados entre sí.</t>
  </si>
  <si>
    <t>□  Expliqué cómo cada vista 4+1 contribuye a la adaptabilidad del sistema.</t>
  </si>
  <si>
    <t>□  El PPT resumen incluye todos los diagramas con descripción de cada vista.</t>
  </si>
  <si>
    <t xml:space="preserve">  IE2.3.1 – Estándares de calidad (Encargo)</t>
  </si>
  <si>
    <t>□  Identifiqué al menos dos estándares de calidad aplicables al diseño de software del proyecto.</t>
  </si>
  <si>
    <t>□  Los estándares están fundamentados en principios de la ingeniería de software.</t>
  </si>
  <si>
    <t>□  Justifiqué cómo cada estándar contribuye a la calidad del sistema desarrollado.</t>
  </si>
  <si>
    <t>□  Vinculé los estándares de calidad a los diagramas UML producidos.</t>
  </si>
  <si>
    <t xml:space="preserve">  SITUACIÓN EVALUATIVA 2 — PRESENTACIÓN  (individual)</t>
  </si>
  <si>
    <t xml:space="preserve">  IE2.1.2 – Expone técnicas UML (Presentación)</t>
  </si>
  <si>
    <t>□  Expliqué verbalmente qué técnicas UML utilicé y por qué.</t>
  </si>
  <si>
    <t>□  Demostré comprensión de los estándares UML durante la exposición.</t>
  </si>
  <si>
    <t>□  Vinculé las técnicas UML a la arquitectura y diseño del sistema.</t>
  </si>
  <si>
    <t>□  Respondí preguntas sobre las técnicas UML con precisión y seguridad.</t>
  </si>
  <si>
    <t>□  Usé terminología técnica correcta en toda la presentación.</t>
  </si>
  <si>
    <t xml:space="preserve">  IE2.2.2 – Explica patrones 4+1 (Presentación)</t>
  </si>
  <si>
    <t>□  Expliqué qué es el patrón 4+1 y cuáles son sus 5 vistas.</t>
  </si>
  <si>
    <t>□  Vinculé cada vista del patrón 4+1 a un diagrama específico del proyecto.</t>
  </si>
  <si>
    <t>□  Argumenté cómo los patrones 4+1 contribuyen al desarrollo e integración.</t>
  </si>
  <si>
    <t>□  Expliqué cada vista 4+1 con ejemplos concretos del caso asignado.</t>
  </si>
  <si>
    <t>□  Demostré comprensión de cómo las vistas se complementan entre sí.</t>
  </si>
  <si>
    <t xml:space="preserve">  IE2.2.3 – Explica diagramas UML (Presentación)</t>
  </si>
  <si>
    <t>□  Expliqué el Diagrama de Clases y su función en el sistema.</t>
  </si>
  <si>
    <t>□  Expliqué el Diagrama de Componentes y su función en el sistema.</t>
  </si>
  <si>
    <t>□  Expliqué el Diagrama de Actividad y su función en el sistema.</t>
  </si>
  <si>
    <t>□  Expliqué el Diagrama de Despliegue y su función en el sistema.</t>
  </si>
  <si>
    <t>□  Expliqué el Diagrama de Caso de Uso y su función en el sistema (si aplica).</t>
  </si>
  <si>
    <t>□  Para cada diagrama, relacioné su contenido con los requerimientos funcionales del proyecto.</t>
  </si>
  <si>
    <t>□  Demostré dominio en las relaciones entre clases, componentes e interfaces.</t>
  </si>
  <si>
    <t xml:space="preserve">  IE2.3.2 – Argumenta estándares de calidad (Presentación)</t>
  </si>
  <si>
    <t>□  Argumenté verbalmente al menos dos estándares de calidad aplicados en el diseño.</t>
  </si>
  <si>
    <t>□  Relacioné los estándares con los fundamentos de la ingeniería de software.</t>
  </si>
  <si>
    <t>□  Justifiqué por qué los estándares elegidos son pertinentes para este proyecto específico.</t>
  </si>
  <si>
    <t>□  Respondí preguntas sobre calidad del software con argumentos técnicos sólidos.</t>
  </si>
  <si>
    <t xml:space="preserve">  VERIFICACIÓN FINAL ANTES DE ENTREGAR</t>
  </si>
  <si>
    <t>General</t>
  </si>
  <si>
    <t>□  El encargo incluye los diagramas exportados desde una herramienta UML profesional.</t>
  </si>
  <si>
    <t>□  El PPT resumen contiene todos los diagramas con descripción de cada vista 4+1.</t>
  </si>
  <si>
    <t>□  Los diagramas y el PPT se enviaron al docente en el plazo y formato indicados.</t>
  </si>
  <si>
    <t>□  Cada integrante del grupo conoce el contenido completo de todos los diagramas.</t>
  </si>
  <si>
    <t>□  La presentación oral no excede el tiempo asignado y cubre todos los IE de la Situación 2.</t>
  </si>
  <si>
    <t>□  Se usó lenguaje técnico correcto (UML, 4+1, estándares de calidad) en el informe y en la presentación.</t>
  </si>
  <si>
    <t>Fecha:</t>
  </si>
  <si>
    <t>TABLA DE CONVERSIÓN — Puntaje → Nota (1.0 – 7.0)</t>
  </si>
  <si>
    <t>Escala bilineal  |  Corte: 60 puntos = Nota 4.0  |  RQY1102 Parcial N° 2.2</t>
  </si>
  <si>
    <t>Puntaje (0–100)</t>
  </si>
  <si>
    <t>Nota (1.0–7.0)</t>
  </si>
  <si>
    <t>Referencia</t>
  </si>
  <si>
    <t>Puntaje mínimo</t>
  </si>
  <si>
    <t>← CORTE (nota mínima de aprobación)</t>
  </si>
  <si>
    <t>Puntaje máximo</t>
  </si>
  <si>
    <t>COEVALUACIÓN — Evaluación Parcial N° 2.2</t>
  </si>
  <si>
    <t>RQY1102 – Ingeniería de Software  |  Criterios priorizados: IE2.2.1 (18%) · IE2.2.2 (21%) · IE2.2.3 (21%)  |  No te evalúes a ti mismo/a  |  Grupos de máx. 3 integrantes</t>
  </si>
  <si>
    <t>Nombre del/la evaluador/a:</t>
  </si>
  <si>
    <t>INSTRUCCIONES: Evalúa la contribución de cada compañero/a en los tres indicadores de mayor peso del Parcial 2.2. Usa el menú desplegable: Siempre (4) · Frecuentemente (3) · A veces (2) · Nunca / No participó (1). No te incluyas a ti mismo/a.</t>
  </si>
  <si>
    <t>PASO 1 — Escribe los nombres de tus compañeros/as de grupo (máximo 2):</t>
  </si>
  <si>
    <t>Compañero/a:</t>
  </si>
  <si>
    <t>Integrante 1</t>
  </si>
  <si>
    <t>Integrante 2</t>
  </si>
  <si>
    <t>Nombre completo:</t>
  </si>
  <si>
    <t>(escribir nombre)</t>
  </si>
  <si>
    <t>PASO 2 — Para cada criterio, selecciona el nivel de contribución de cada compañero/a:</t>
  </si>
  <si>
    <t xml:space="preserve">  IE2.2.1 – Patrones 4+1 y arquitectura (Encargo · 18%)</t>
  </si>
  <si>
    <t>Criterio de observación</t>
  </si>
  <si>
    <t>□  Participó activamente en la selección y justificación de los patrones arquitectónicos.</t>
  </si>
  <si>
    <t>□  Contribuyó en la construcción de los diagramas del patrón 4+1 (al menos 3 vistas).</t>
  </si>
  <si>
    <t>□  Su aporte es verificable en el informe/diagramas entregados.</t>
  </si>
  <si>
    <t xml:space="preserve">  IE2.2.2 – Explica patrones 4+1 (Presentación · 21%)</t>
  </si>
  <si>
    <t>□  Preparó su parte de la explicación del patrón 4+1 antes de la presentación.</t>
  </si>
  <si>
    <t>□  Durante la exposición, explicó correctamente las vistas 4+1 asignadas.</t>
  </si>
  <si>
    <t>□  Respondió preguntas con seguridad técnica en la sesión de retroalimentación.</t>
  </si>
  <si>
    <t xml:space="preserve">  IE2.2.3 – Explica diagramas UML (Presentación · 21%)</t>
  </si>
  <si>
    <t>□  Preparó la explicación de los diagramas UML que le correspondía presentar.</t>
  </si>
  <si>
    <t>□  Explicó con claridad la función y estructura de cada diagrama asignado.</t>
  </si>
  <si>
    <t>□  Demostró comprensión de las relaciones entre los elementos del diagrama.</t>
  </si>
  <si>
    <t>PASO 3 — Observación general por compañero/a (opcional, máx. 1 línea):</t>
  </si>
  <si>
    <t>Observación:</t>
  </si>
  <si>
    <t>Integrante 3</t>
  </si>
  <si>
    <t>Integrante 4</t>
  </si>
  <si>
    <t>Integrante 5</t>
  </si>
  <si>
    <t>Jose Diaz</t>
  </si>
  <si>
    <t>Andres Mendoza</t>
  </si>
  <si>
    <t>Simon Gonzalez</t>
  </si>
  <si>
    <t>✓</t>
  </si>
  <si>
    <t>Siempre (4)</t>
  </si>
  <si>
    <t>Es un excelente compañero, confiable y su templanza y resolutividad para los inconvenietes ayudan mucho a lograr los obejtivos.</t>
  </si>
  <si>
    <t>Es un excelente compañero, su forma de ver las cosas de manera objetiva y las ganas de aprender motiva al equipo a seguir adelante y a no de caer.</t>
  </si>
  <si>
    <t>Es un excelente compañero, su ganas de aprender, colaboración, el ser detallista estar dispuesto a ayudar, motiva al equipo a seguir a delante y a no de caer.</t>
  </si>
  <si>
    <t>Declaro que esta coevaluación refleja mi percepción honesta de la contribución de mis compañeros/as.  Firma: __________Ignacio Arntz_________________  Fecha: __03-06-2026__________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</si>
</sst>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0.0"/>
  </numFmts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000000"/>
      <name val="Arial"/>
      <family val="2"/>
    </font>
    <font>
      <i/>
      <sz val="8"/>
      <color rgb="FF40404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i/>
      <sz val="8"/>
      <color rgb="FF808080"/>
      <name val="Arial"/>
      <family val="2"/>
    </font>
    <font>
      <b/>
      <sz val="8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003865"/>
        <bgColor rgb="FF1F3864"/>
      </patternFill>
    </fill>
    <fill>
      <patternFill patternType="solid">
        <fgColor rgb="FFF2F2F2"/>
        <bgColor rgb="FFFFFDE7"/>
      </patternFill>
    </fill>
    <fill>
      <patternFill patternType="solid">
        <fgColor rgb="FF70AD47"/>
        <bgColor rgb="FF339966"/>
      </patternFill>
    </fill>
    <fill>
      <patternFill patternType="solid">
        <fgColor rgb="FF00B0F0"/>
        <bgColor rgb="FF33CCCC"/>
      </patternFill>
    </fill>
    <fill>
      <patternFill patternType="solid">
        <fgColor rgb="FF5B9BD5"/>
        <bgColor rgb="FF808080"/>
      </patternFill>
    </fill>
    <fill>
      <patternFill patternType="solid">
        <fgColor rgb="FFFFC000"/>
        <bgColor rgb="FFF5A800"/>
      </patternFill>
    </fill>
    <fill>
      <patternFill patternType="solid">
        <fgColor rgb="FFFF0000"/>
        <bgColor rgb="FF993300"/>
      </patternFill>
    </fill>
    <fill>
      <patternFill patternType="solid">
        <fgColor rgb="FFF5A800"/>
        <bgColor rgb="FFFFC000"/>
      </patternFill>
    </fill>
    <fill>
      <patternFill patternType="solid">
        <fgColor rgb="FF1F3864"/>
        <bgColor rgb="FF003865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C55A11"/>
        <bgColor rgb="FF993300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AEEF3"/>
      </patternFill>
    </fill>
    <fill>
      <patternFill patternType="solid">
        <fgColor rgb="FFFFF2CC"/>
        <bgColor rgb="FFFFFDE7"/>
      </patternFill>
    </fill>
    <fill>
      <patternFill patternType="solid">
        <fgColor rgb="FFFFCCCC"/>
        <bgColor rgb="FFFFF2CC"/>
      </patternFill>
    </fill>
    <fill>
      <patternFill patternType="solid">
        <fgColor rgb="FFFFFF8C"/>
        <bgColor rgb="FF1F3864"/>
      </patternFill>
    </fill>
    <fill>
      <patternFill patternType="solid">
        <fgColor rgb="FFFFFF8C"/>
        <bgColor rgb="FF0038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center" vertical="top" wrapText="1"/>
    </xf>
    <xf numFmtId="0" fontId="7" fillId="11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top" wrapText="1"/>
    </xf>
    <xf numFmtId="0" fontId="7" fillId="12" borderId="1" xfId="0" applyFont="1" applyFill="1" applyBorder="1" applyAlignment="1">
      <alignment horizontal="left" vertical="top" wrapText="1"/>
    </xf>
    <xf numFmtId="164" fontId="8" fillId="12" borderId="1" xfId="0" applyNumberFormat="1" applyFont="1" applyFill="1" applyBorder="1" applyAlignment="1">
      <alignment horizontal="center" vertical="top" wrapText="1"/>
    </xf>
    <xf numFmtId="165" fontId="8" fillId="12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top" wrapText="1"/>
    </xf>
    <xf numFmtId="165" fontId="11" fillId="9" borderId="3" xfId="0" applyNumberFormat="1" applyFont="1" applyFill="1" applyBorder="1" applyAlignment="1">
      <alignment horizontal="center" vertical="center" wrapText="1"/>
    </xf>
    <xf numFmtId="165" fontId="12" fillId="14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165" fontId="7" fillId="17" borderId="1" xfId="0" applyNumberFormat="1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165" fontId="7" fillId="14" borderId="1" xfId="0" applyNumberFormat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16" fillId="18" borderId="0" xfId="0" applyFont="1" applyFill="1" applyAlignment="1">
      <alignment horizontal="center" vertical="center" wrapText="1"/>
    </xf>
    <xf numFmtId="0" fontId="17" fillId="18" borderId="0" xfId="0" applyFont="1" applyFill="1" applyAlignment="1">
      <alignment horizontal="center" vertical="center" wrapText="1"/>
    </xf>
    <xf numFmtId="0" fontId="18" fillId="19" borderId="2" xfId="0" applyFont="1" applyFill="1" applyBorder="1" applyAlignment="1">
      <alignment horizontal="left" vertical="center" wrapText="1"/>
    </xf>
    <xf numFmtId="0" fontId="19" fillId="18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9" fillId="1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1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0" fillId="0" borderId="0" xfId="0"/>
  </cellXfs>
  <cellStyles count="1">
    <cellStyle name="Normal" xfId="0" builtinId="0"/>
  </cellStyles>
  <dxfs count="3">
    <dxf>
      <fill>
        <patternFill>
          <bgColor rgb="FFFF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DE7"/>
      <rgbColor rgb="FFDAEEF3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EEAF1"/>
      <rgbColor rgb="FFE2EFDA"/>
      <rgbColor rgb="FFFFF2CC"/>
      <rgbColor rgb="FF99CCFF"/>
      <rgbColor rgb="FFFF99CC"/>
      <rgbColor rgb="FFCC99FF"/>
      <rgbColor rgb="FFFFCCCC"/>
      <rgbColor rgb="FF3366FF"/>
      <rgbColor rgb="FF33CCCC"/>
      <rgbColor rgb="FF99CC00"/>
      <rgbColor rgb="FFFFC000"/>
      <rgbColor rgb="FFF5A800"/>
      <rgbColor rgb="FFC55A11"/>
      <rgbColor rgb="FF666699"/>
      <rgbColor rgb="FF70AD47"/>
      <rgbColor rgb="FF003865"/>
      <rgbColor rgb="FF339966"/>
      <rgbColor rgb="FF003300"/>
      <rgbColor rgb="FF333300"/>
      <rgbColor rgb="FF993300"/>
      <rgbColor rgb="FF993366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showGridLines="0" topLeftCell="A48" zoomScaleNormal="100" workbookViewId="0">
      <selection activeCell="D55" sqref="D55"/>
    </sheetView>
  </sheetViews>
  <sheetFormatPr baseColWidth="10" defaultColWidth="8.6328125" defaultRowHeight="14.5" x14ac:dyDescent="0.35"/>
  <cols>
    <col min="1" max="1" width="30" customWidth="1"/>
    <col min="2" max="2" width="16" customWidth="1"/>
    <col min="3" max="3" width="58" customWidth="1"/>
    <col min="4" max="4" width="8" customWidth="1"/>
    <col min="5" max="5" width="28" customWidth="1"/>
  </cols>
  <sheetData>
    <row r="1" spans="1:5" ht="25.5" customHeight="1" x14ac:dyDescent="0.35">
      <c r="A1" s="42" t="s">
        <v>70</v>
      </c>
      <c r="B1" s="42"/>
      <c r="C1" s="42"/>
      <c r="D1" s="42"/>
      <c r="E1" s="42"/>
    </row>
    <row r="2" spans="1:5" ht="15" customHeight="1" x14ac:dyDescent="0.35">
      <c r="A2" s="43" t="s">
        <v>71</v>
      </c>
      <c r="B2" s="43"/>
      <c r="C2" s="43"/>
      <c r="D2" s="43"/>
      <c r="E2" s="43"/>
    </row>
    <row r="3" spans="1:5" ht="15.75" customHeight="1" x14ac:dyDescent="0.35">
      <c r="A3" s="38" t="s">
        <v>72</v>
      </c>
      <c r="B3" s="38" t="s">
        <v>73</v>
      </c>
      <c r="C3" s="38" t="s">
        <v>74</v>
      </c>
      <c r="D3" s="38" t="s">
        <v>75</v>
      </c>
      <c r="E3" s="38" t="s">
        <v>76</v>
      </c>
    </row>
    <row r="4" spans="1:5" ht="18" customHeight="1" x14ac:dyDescent="0.35">
      <c r="A4" s="44" t="s">
        <v>77</v>
      </c>
      <c r="B4" s="44"/>
      <c r="C4" s="44"/>
      <c r="D4" s="44"/>
      <c r="E4" s="44"/>
    </row>
    <row r="5" spans="1:5" ht="18" customHeight="1" x14ac:dyDescent="0.35">
      <c r="A5" s="45" t="s">
        <v>78</v>
      </c>
      <c r="B5" s="45"/>
      <c r="C5" s="45"/>
      <c r="D5" s="45"/>
      <c r="E5" s="45"/>
    </row>
    <row r="6" spans="1:5" ht="27.75" customHeight="1" x14ac:dyDescent="0.35">
      <c r="A6" s="22"/>
      <c r="B6" s="23" t="s">
        <v>79</v>
      </c>
      <c r="C6" s="22" t="s">
        <v>80</v>
      </c>
      <c r="D6" s="23" t="s">
        <v>173</v>
      </c>
      <c r="E6" s="22"/>
    </row>
    <row r="7" spans="1:5" ht="27.75" customHeight="1" x14ac:dyDescent="0.35">
      <c r="A7" s="22"/>
      <c r="B7" s="23" t="s">
        <v>79</v>
      </c>
      <c r="C7" s="22" t="s">
        <v>81</v>
      </c>
      <c r="D7" s="23" t="s">
        <v>173</v>
      </c>
      <c r="E7" s="22"/>
    </row>
    <row r="8" spans="1:5" ht="27.75" customHeight="1" x14ac:dyDescent="0.35">
      <c r="A8" s="22"/>
      <c r="B8" s="23" t="s">
        <v>79</v>
      </c>
      <c r="C8" s="22" t="s">
        <v>82</v>
      </c>
      <c r="D8" s="23" t="s">
        <v>173</v>
      </c>
      <c r="E8" s="22"/>
    </row>
    <row r="9" spans="1:5" ht="27.75" customHeight="1" x14ac:dyDescent="0.35">
      <c r="A9" s="24"/>
      <c r="B9" s="25" t="s">
        <v>83</v>
      </c>
      <c r="C9" s="24" t="s">
        <v>84</v>
      </c>
      <c r="D9" s="25"/>
      <c r="E9" s="24"/>
    </row>
    <row r="10" spans="1:5" ht="27.75" customHeight="1" x14ac:dyDescent="0.35">
      <c r="A10" s="24"/>
      <c r="B10" s="25" t="s">
        <v>83</v>
      </c>
      <c r="C10" s="24" t="s">
        <v>85</v>
      </c>
      <c r="D10" s="25"/>
      <c r="E10" s="24"/>
    </row>
    <row r="11" spans="1:5" ht="18" customHeight="1" x14ac:dyDescent="0.35">
      <c r="A11" s="39" t="s">
        <v>86</v>
      </c>
      <c r="B11" s="39"/>
      <c r="C11" s="39"/>
      <c r="D11" s="39"/>
      <c r="E11" s="39"/>
    </row>
    <row r="12" spans="1:5" ht="27.75" customHeight="1" x14ac:dyDescent="0.35">
      <c r="A12" s="22"/>
      <c r="B12" s="23" t="s">
        <v>79</v>
      </c>
      <c r="C12" s="22" t="s">
        <v>87</v>
      </c>
      <c r="D12" s="23" t="s">
        <v>173</v>
      </c>
      <c r="E12" s="22"/>
    </row>
    <row r="13" spans="1:5" ht="27.75" customHeight="1" x14ac:dyDescent="0.35">
      <c r="A13" s="22"/>
      <c r="B13" s="23" t="s">
        <v>79</v>
      </c>
      <c r="C13" s="22" t="s">
        <v>88</v>
      </c>
      <c r="D13" s="23" t="s">
        <v>173</v>
      </c>
      <c r="E13" s="22"/>
    </row>
    <row r="14" spans="1:5" ht="27.75" customHeight="1" x14ac:dyDescent="0.35">
      <c r="A14" s="22"/>
      <c r="B14" s="23" t="s">
        <v>79</v>
      </c>
      <c r="C14" s="22" t="s">
        <v>89</v>
      </c>
      <c r="D14" s="23" t="s">
        <v>173</v>
      </c>
      <c r="E14" s="22"/>
    </row>
    <row r="15" spans="1:5" ht="27.75" customHeight="1" x14ac:dyDescent="0.35">
      <c r="A15" s="24"/>
      <c r="B15" s="25" t="s">
        <v>83</v>
      </c>
      <c r="C15" s="24" t="s">
        <v>90</v>
      </c>
      <c r="D15" s="25"/>
      <c r="E15" s="24"/>
    </row>
    <row r="16" spans="1:5" ht="27.75" customHeight="1" x14ac:dyDescent="0.35">
      <c r="A16" s="24"/>
      <c r="B16" s="25" t="s">
        <v>83</v>
      </c>
      <c r="C16" s="24" t="s">
        <v>91</v>
      </c>
      <c r="D16" s="25"/>
      <c r="E16" s="24"/>
    </row>
    <row r="17" spans="1:5" ht="27.75" customHeight="1" x14ac:dyDescent="0.35">
      <c r="A17" s="24"/>
      <c r="B17" s="25" t="s">
        <v>83</v>
      </c>
      <c r="C17" s="24" t="s">
        <v>92</v>
      </c>
      <c r="D17" s="25"/>
      <c r="E17" s="24"/>
    </row>
    <row r="18" spans="1:5" ht="18" customHeight="1" x14ac:dyDescent="0.35">
      <c r="A18" s="39" t="s">
        <v>93</v>
      </c>
      <c r="B18" s="39"/>
      <c r="C18" s="39"/>
      <c r="D18" s="39"/>
      <c r="E18" s="39"/>
    </row>
    <row r="19" spans="1:5" ht="27.75" customHeight="1" x14ac:dyDescent="0.35">
      <c r="A19" s="22"/>
      <c r="B19" s="23" t="s">
        <v>79</v>
      </c>
      <c r="C19" s="22" t="s">
        <v>94</v>
      </c>
      <c r="D19" s="23" t="s">
        <v>173</v>
      </c>
      <c r="E19" s="22"/>
    </row>
    <row r="20" spans="1:5" ht="27.75" customHeight="1" x14ac:dyDescent="0.35">
      <c r="A20" s="22"/>
      <c r="B20" s="23" t="s">
        <v>79</v>
      </c>
      <c r="C20" s="22" t="s">
        <v>95</v>
      </c>
      <c r="D20" s="23" t="s">
        <v>173</v>
      </c>
      <c r="E20" s="22"/>
    </row>
    <row r="21" spans="1:5" ht="27.75" customHeight="1" x14ac:dyDescent="0.35">
      <c r="A21" s="24"/>
      <c r="B21" s="25" t="s">
        <v>83</v>
      </c>
      <c r="C21" s="24" t="s">
        <v>96</v>
      </c>
      <c r="D21" s="25"/>
      <c r="E21" s="24"/>
    </row>
    <row r="22" spans="1:5" ht="27.75" customHeight="1" x14ac:dyDescent="0.35">
      <c r="A22" s="24"/>
      <c r="B22" s="25" t="s">
        <v>83</v>
      </c>
      <c r="C22" s="24" t="s">
        <v>97</v>
      </c>
      <c r="D22" s="25"/>
      <c r="E22" s="24"/>
    </row>
    <row r="23" spans="1:5" ht="18" customHeight="1" x14ac:dyDescent="0.35">
      <c r="A23" s="41" t="s">
        <v>98</v>
      </c>
      <c r="B23" s="41"/>
      <c r="C23" s="41"/>
      <c r="D23" s="41"/>
      <c r="E23" s="41"/>
    </row>
    <row r="24" spans="1:5" ht="18" customHeight="1" x14ac:dyDescent="0.35">
      <c r="A24" s="39" t="s">
        <v>99</v>
      </c>
      <c r="B24" s="39"/>
      <c r="C24" s="39"/>
      <c r="D24" s="39"/>
      <c r="E24" s="39"/>
    </row>
    <row r="25" spans="1:5" ht="27.75" customHeight="1" x14ac:dyDescent="0.35">
      <c r="A25" s="22"/>
      <c r="B25" s="23" t="s">
        <v>79</v>
      </c>
      <c r="C25" s="22" t="s">
        <v>100</v>
      </c>
      <c r="D25" s="23" t="s">
        <v>173</v>
      </c>
      <c r="E25" s="22"/>
    </row>
    <row r="26" spans="1:5" ht="27.75" customHeight="1" x14ac:dyDescent="0.35">
      <c r="A26" s="22"/>
      <c r="B26" s="23" t="s">
        <v>79</v>
      </c>
      <c r="C26" s="22" t="s">
        <v>101</v>
      </c>
      <c r="D26" s="23" t="s">
        <v>173</v>
      </c>
      <c r="E26" s="22"/>
    </row>
    <row r="27" spans="1:5" ht="27.75" customHeight="1" x14ac:dyDescent="0.35">
      <c r="A27" s="22"/>
      <c r="B27" s="23" t="s">
        <v>79</v>
      </c>
      <c r="C27" s="22" t="s">
        <v>102</v>
      </c>
      <c r="D27" s="23" t="s">
        <v>173</v>
      </c>
      <c r="E27" s="22"/>
    </row>
    <row r="28" spans="1:5" ht="27.75" customHeight="1" x14ac:dyDescent="0.35">
      <c r="A28" s="24"/>
      <c r="B28" s="25" t="s">
        <v>83</v>
      </c>
      <c r="C28" s="24" t="s">
        <v>103</v>
      </c>
      <c r="D28" s="25"/>
      <c r="E28" s="24"/>
    </row>
    <row r="29" spans="1:5" ht="27.75" customHeight="1" x14ac:dyDescent="0.35">
      <c r="A29" s="24"/>
      <c r="B29" s="25" t="s">
        <v>83</v>
      </c>
      <c r="C29" s="24" t="s">
        <v>104</v>
      </c>
      <c r="D29" s="25"/>
      <c r="E29" s="24"/>
    </row>
    <row r="30" spans="1:5" ht="18" customHeight="1" x14ac:dyDescent="0.35">
      <c r="A30" s="39" t="s">
        <v>105</v>
      </c>
      <c r="B30" s="39"/>
      <c r="C30" s="39"/>
      <c r="D30" s="39"/>
      <c r="E30" s="39"/>
    </row>
    <row r="31" spans="1:5" ht="27.75" customHeight="1" x14ac:dyDescent="0.35">
      <c r="A31" s="22"/>
      <c r="B31" s="23" t="s">
        <v>79</v>
      </c>
      <c r="C31" s="22" t="s">
        <v>106</v>
      </c>
      <c r="D31" s="23" t="s">
        <v>173</v>
      </c>
      <c r="E31" s="22"/>
    </row>
    <row r="32" spans="1:5" ht="27.75" customHeight="1" x14ac:dyDescent="0.35">
      <c r="A32" s="22"/>
      <c r="B32" s="23" t="s">
        <v>79</v>
      </c>
      <c r="C32" s="22" t="s">
        <v>107</v>
      </c>
      <c r="D32" s="23" t="s">
        <v>173</v>
      </c>
      <c r="E32" s="22"/>
    </row>
    <row r="33" spans="1:5" ht="27.75" customHeight="1" x14ac:dyDescent="0.35">
      <c r="A33" s="22"/>
      <c r="B33" s="23" t="s">
        <v>79</v>
      </c>
      <c r="C33" s="22" t="s">
        <v>108</v>
      </c>
      <c r="D33" s="23" t="s">
        <v>173</v>
      </c>
      <c r="E33" s="22"/>
    </row>
    <row r="34" spans="1:5" ht="27.75" customHeight="1" x14ac:dyDescent="0.35">
      <c r="A34" s="24"/>
      <c r="B34" s="25" t="s">
        <v>83</v>
      </c>
      <c r="C34" s="24" t="s">
        <v>109</v>
      </c>
      <c r="D34" s="25"/>
      <c r="E34" s="24"/>
    </row>
    <row r="35" spans="1:5" ht="27.75" customHeight="1" x14ac:dyDescent="0.35">
      <c r="A35" s="24"/>
      <c r="B35" s="25" t="s">
        <v>83</v>
      </c>
      <c r="C35" s="24" t="s">
        <v>110</v>
      </c>
      <c r="D35" s="25"/>
      <c r="E35" s="24"/>
    </row>
    <row r="36" spans="1:5" ht="18" customHeight="1" x14ac:dyDescent="0.35">
      <c r="A36" s="39" t="s">
        <v>111</v>
      </c>
      <c r="B36" s="39"/>
      <c r="C36" s="39"/>
      <c r="D36" s="39"/>
      <c r="E36" s="39"/>
    </row>
    <row r="37" spans="1:5" ht="27.75" customHeight="1" x14ac:dyDescent="0.35">
      <c r="A37" s="22"/>
      <c r="B37" s="23" t="s">
        <v>79</v>
      </c>
      <c r="C37" s="22" t="s">
        <v>112</v>
      </c>
      <c r="D37" s="23" t="s">
        <v>173</v>
      </c>
      <c r="E37" s="22"/>
    </row>
    <row r="38" spans="1:5" ht="27.75" customHeight="1" x14ac:dyDescent="0.35">
      <c r="A38" s="22"/>
      <c r="B38" s="23" t="s">
        <v>79</v>
      </c>
      <c r="C38" s="22" t="s">
        <v>113</v>
      </c>
      <c r="D38" s="23" t="s">
        <v>173</v>
      </c>
      <c r="E38" s="22"/>
    </row>
    <row r="39" spans="1:5" ht="27.75" customHeight="1" x14ac:dyDescent="0.35">
      <c r="A39" s="22"/>
      <c r="B39" s="23" t="s">
        <v>79</v>
      </c>
      <c r="C39" s="22" t="s">
        <v>114</v>
      </c>
      <c r="D39" s="23" t="s">
        <v>173</v>
      </c>
      <c r="E39" s="22"/>
    </row>
    <row r="40" spans="1:5" ht="27.75" customHeight="1" x14ac:dyDescent="0.35">
      <c r="A40" s="22"/>
      <c r="B40" s="23" t="s">
        <v>79</v>
      </c>
      <c r="C40" s="22" t="s">
        <v>115</v>
      </c>
      <c r="D40" s="23" t="s">
        <v>173</v>
      </c>
      <c r="E40" s="22"/>
    </row>
    <row r="41" spans="1:5" ht="27.75" customHeight="1" x14ac:dyDescent="0.35">
      <c r="A41" s="22"/>
      <c r="B41" s="23" t="s">
        <v>79</v>
      </c>
      <c r="C41" s="22" t="s">
        <v>116</v>
      </c>
      <c r="D41" s="23" t="s">
        <v>173</v>
      </c>
      <c r="E41" s="22"/>
    </row>
    <row r="42" spans="1:5" ht="27.75" customHeight="1" x14ac:dyDescent="0.35">
      <c r="A42" s="24"/>
      <c r="B42" s="25" t="s">
        <v>83</v>
      </c>
      <c r="C42" s="24" t="s">
        <v>117</v>
      </c>
      <c r="D42" s="25"/>
      <c r="E42" s="24"/>
    </row>
    <row r="43" spans="1:5" ht="27.75" customHeight="1" x14ac:dyDescent="0.35">
      <c r="A43" s="24"/>
      <c r="B43" s="25" t="s">
        <v>83</v>
      </c>
      <c r="C43" s="24" t="s">
        <v>118</v>
      </c>
      <c r="D43" s="25"/>
      <c r="E43" s="24"/>
    </row>
    <row r="44" spans="1:5" ht="18" customHeight="1" x14ac:dyDescent="0.35">
      <c r="A44" s="39" t="s">
        <v>119</v>
      </c>
      <c r="B44" s="39"/>
      <c r="C44" s="39"/>
      <c r="D44" s="39"/>
      <c r="E44" s="39"/>
    </row>
    <row r="45" spans="1:5" ht="27.75" customHeight="1" x14ac:dyDescent="0.35">
      <c r="A45" s="22"/>
      <c r="B45" s="23" t="s">
        <v>79</v>
      </c>
      <c r="C45" s="22" t="s">
        <v>120</v>
      </c>
      <c r="D45" s="23" t="s">
        <v>173</v>
      </c>
      <c r="E45" s="22"/>
    </row>
    <row r="46" spans="1:5" ht="27.75" customHeight="1" x14ac:dyDescent="0.35">
      <c r="A46" s="22"/>
      <c r="B46" s="23" t="s">
        <v>79</v>
      </c>
      <c r="C46" s="22" t="s">
        <v>121</v>
      </c>
      <c r="D46" s="23" t="s">
        <v>173</v>
      </c>
      <c r="E46" s="22"/>
    </row>
    <row r="47" spans="1:5" ht="27.75" customHeight="1" x14ac:dyDescent="0.35">
      <c r="A47" s="24"/>
      <c r="B47" s="25" t="s">
        <v>83</v>
      </c>
      <c r="C47" s="24" t="s">
        <v>122</v>
      </c>
      <c r="D47" s="25"/>
      <c r="E47" s="24"/>
    </row>
    <row r="48" spans="1:5" ht="27.75" customHeight="1" x14ac:dyDescent="0.35">
      <c r="A48" s="24"/>
      <c r="B48" s="25" t="s">
        <v>83</v>
      </c>
      <c r="C48" s="24" t="s">
        <v>123</v>
      </c>
      <c r="D48" s="25"/>
      <c r="E48" s="24"/>
    </row>
    <row r="49" spans="1:5" ht="18" customHeight="1" x14ac:dyDescent="0.35">
      <c r="A49" s="40" t="s">
        <v>124</v>
      </c>
      <c r="B49" s="40"/>
      <c r="C49" s="40"/>
      <c r="D49" s="40"/>
      <c r="E49" s="40"/>
    </row>
    <row r="50" spans="1:5" ht="27.75" customHeight="1" x14ac:dyDescent="0.35">
      <c r="A50" s="26"/>
      <c r="B50" s="27" t="s">
        <v>125</v>
      </c>
      <c r="C50" s="26" t="s">
        <v>126</v>
      </c>
      <c r="D50" s="27" t="s">
        <v>173</v>
      </c>
      <c r="E50" s="26"/>
    </row>
    <row r="51" spans="1:5" ht="27.75" customHeight="1" x14ac:dyDescent="0.35">
      <c r="A51" s="26"/>
      <c r="B51" s="27" t="s">
        <v>125</v>
      </c>
      <c r="C51" s="26" t="s">
        <v>127</v>
      </c>
      <c r="D51" s="27" t="s">
        <v>173</v>
      </c>
      <c r="E51" s="26"/>
    </row>
    <row r="52" spans="1:5" ht="27.75" customHeight="1" x14ac:dyDescent="0.35">
      <c r="A52" s="26"/>
      <c r="B52" s="27" t="s">
        <v>125</v>
      </c>
      <c r="C52" s="26" t="s">
        <v>128</v>
      </c>
      <c r="D52" s="27" t="s">
        <v>173</v>
      </c>
      <c r="E52" s="26"/>
    </row>
    <row r="53" spans="1:5" ht="27.75" customHeight="1" x14ac:dyDescent="0.35">
      <c r="A53" s="26"/>
      <c r="B53" s="27" t="s">
        <v>125</v>
      </c>
      <c r="C53" s="26" t="s">
        <v>129</v>
      </c>
      <c r="D53" s="27" t="s">
        <v>173</v>
      </c>
      <c r="E53" s="26"/>
    </row>
    <row r="54" spans="1:5" ht="27.75" customHeight="1" x14ac:dyDescent="0.35">
      <c r="A54" s="26"/>
      <c r="B54" s="27" t="s">
        <v>125</v>
      </c>
      <c r="C54" s="26" t="s">
        <v>130</v>
      </c>
      <c r="D54" s="27" t="s">
        <v>173</v>
      </c>
      <c r="E54" s="26"/>
    </row>
    <row r="55" spans="1:5" ht="27.75" customHeight="1" x14ac:dyDescent="0.35">
      <c r="A55" s="26"/>
      <c r="B55" s="27" t="s">
        <v>125</v>
      </c>
      <c r="C55" s="26" t="s">
        <v>131</v>
      </c>
      <c r="D55" s="27" t="s">
        <v>173</v>
      </c>
      <c r="E55" s="26"/>
    </row>
  </sheetData>
  <mergeCells count="12">
    <mergeCell ref="A1:E1"/>
    <mergeCell ref="A2:E2"/>
    <mergeCell ref="A4:E4"/>
    <mergeCell ref="A5:E5"/>
    <mergeCell ref="A11:E11"/>
    <mergeCell ref="A44:E44"/>
    <mergeCell ref="A49:E49"/>
    <mergeCell ref="A18:E18"/>
    <mergeCell ref="A23:E23"/>
    <mergeCell ref="A24:E24"/>
    <mergeCell ref="A30:E30"/>
    <mergeCell ref="A36:E36"/>
  </mergeCells>
  <dataValidations count="1">
    <dataValidation type="list" allowBlank="1" sqref="D6:D10 D12:D17 D19:D22 D25:D29 D31:D35 D37:D43 D45:D48 D50:D55" xr:uid="{00000000-0002-0000-0100-000000000000}">
      <formula1>"✓,✗,—"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showGridLines="0" tabSelected="1" zoomScaleNormal="100" workbookViewId="0">
      <pane ySplit="8" topLeftCell="A26" activePane="bottomLeft" state="frozen"/>
      <selection pane="bottomLeft" activeCell="A30" sqref="A30:G30"/>
    </sheetView>
  </sheetViews>
  <sheetFormatPr baseColWidth="10" defaultColWidth="8.6328125" defaultRowHeight="14.5" x14ac:dyDescent="0.35"/>
  <cols>
    <col min="1" max="1" width="46" customWidth="1"/>
    <col min="2" max="11" width="17.6328125" customWidth="1"/>
  </cols>
  <sheetData>
    <row r="1" spans="1:11" ht="25.5" customHeight="1" x14ac:dyDescent="0.35">
      <c r="A1" s="56" t="s">
        <v>141</v>
      </c>
      <c r="B1" s="56"/>
      <c r="C1" s="56"/>
      <c r="D1" s="56"/>
      <c r="E1" s="56"/>
      <c r="F1" s="56"/>
      <c r="G1" s="56"/>
    </row>
    <row r="2" spans="1:11" ht="15" customHeight="1" x14ac:dyDescent="0.35">
      <c r="A2" s="57" t="s">
        <v>142</v>
      </c>
      <c r="B2" s="57"/>
      <c r="C2" s="57"/>
      <c r="D2" s="57"/>
      <c r="E2" s="57"/>
      <c r="F2" s="57"/>
      <c r="G2" s="57"/>
    </row>
    <row r="3" spans="1:11" ht="15.75" customHeight="1" x14ac:dyDescent="0.35">
      <c r="A3" s="58" t="s">
        <v>143</v>
      </c>
      <c r="B3" s="58"/>
      <c r="C3" s="58"/>
      <c r="D3" s="58" t="s">
        <v>3</v>
      </c>
      <c r="E3" s="58"/>
      <c r="F3" s="58" t="s">
        <v>132</v>
      </c>
      <c r="G3" s="58"/>
    </row>
    <row r="4" spans="1:11" ht="21.75" customHeight="1" x14ac:dyDescent="0.35">
      <c r="A4" s="55" t="s">
        <v>144</v>
      </c>
      <c r="B4" s="55"/>
      <c r="C4" s="55"/>
      <c r="D4" s="55"/>
      <c r="E4" s="55"/>
      <c r="F4" s="55"/>
      <c r="G4" s="55"/>
    </row>
    <row r="5" spans="1:11" ht="18" customHeight="1" x14ac:dyDescent="0.35">
      <c r="A5" s="50" t="s">
        <v>145</v>
      </c>
      <c r="B5" s="50"/>
      <c r="C5" s="50"/>
      <c r="D5" s="50"/>
      <c r="E5" s="50"/>
      <c r="F5" s="50"/>
      <c r="G5" s="50"/>
    </row>
    <row r="6" spans="1:11" ht="15.75" customHeight="1" x14ac:dyDescent="0.35">
      <c r="A6" s="36" t="s">
        <v>146</v>
      </c>
      <c r="B6" s="47" t="s">
        <v>147</v>
      </c>
      <c r="C6" s="47"/>
      <c r="D6" s="47" t="s">
        <v>148</v>
      </c>
      <c r="E6" s="47"/>
      <c r="F6" s="47" t="s">
        <v>167</v>
      </c>
      <c r="G6" s="47"/>
      <c r="H6" s="47" t="s">
        <v>168</v>
      </c>
      <c r="I6" s="47"/>
      <c r="J6" s="47" t="s">
        <v>169</v>
      </c>
      <c r="K6" s="47"/>
    </row>
    <row r="7" spans="1:11" ht="19.5" customHeight="1" x14ac:dyDescent="0.35">
      <c r="A7" s="36" t="s">
        <v>149</v>
      </c>
      <c r="B7" s="48" t="s">
        <v>170</v>
      </c>
      <c r="C7" s="48"/>
      <c r="D7" s="48" t="s">
        <v>171</v>
      </c>
      <c r="E7" s="48"/>
      <c r="F7" s="48" t="s">
        <v>172</v>
      </c>
      <c r="G7" s="48"/>
      <c r="H7" s="48" t="s">
        <v>150</v>
      </c>
      <c r="I7" s="48"/>
      <c r="J7" s="48" t="s">
        <v>150</v>
      </c>
      <c r="K7" s="48"/>
    </row>
    <row r="8" spans="1:11" ht="18" customHeight="1" x14ac:dyDescent="0.35">
      <c r="A8" s="50" t="s">
        <v>151</v>
      </c>
      <c r="B8" s="50"/>
      <c r="C8" s="50"/>
      <c r="D8" s="50"/>
      <c r="E8" s="50"/>
      <c r="F8" s="50"/>
      <c r="G8" s="50"/>
    </row>
    <row r="9" spans="1:11" ht="18" customHeight="1" x14ac:dyDescent="0.35">
      <c r="A9" s="54" t="s">
        <v>152</v>
      </c>
      <c r="B9" s="54"/>
      <c r="C9" s="54"/>
      <c r="D9" s="54"/>
      <c r="E9" s="54"/>
      <c r="F9" s="54"/>
      <c r="G9" s="54"/>
    </row>
    <row r="10" spans="1:11" ht="15.75" customHeight="1" x14ac:dyDescent="0.35">
      <c r="A10" s="37" t="s">
        <v>153</v>
      </c>
      <c r="B10" s="47" t="s">
        <v>147</v>
      </c>
      <c r="C10" s="47"/>
      <c r="D10" s="47" t="s">
        <v>148</v>
      </c>
      <c r="E10" s="47"/>
      <c r="F10" s="47" t="s">
        <v>167</v>
      </c>
      <c r="G10" s="47"/>
      <c r="H10" s="47" t="s">
        <v>168</v>
      </c>
      <c r="I10" s="47"/>
      <c r="J10" s="47" t="s">
        <v>169</v>
      </c>
      <c r="K10" s="47"/>
    </row>
    <row r="11" spans="1:11" ht="27.75" customHeight="1" x14ac:dyDescent="0.35">
      <c r="A11" s="24" t="s">
        <v>154</v>
      </c>
      <c r="B11" s="46" t="s">
        <v>174</v>
      </c>
      <c r="C11" s="46"/>
      <c r="D11" s="46" t="s">
        <v>174</v>
      </c>
      <c r="E11" s="46"/>
      <c r="F11" s="46" t="s">
        <v>174</v>
      </c>
      <c r="G11" s="46"/>
      <c r="H11" s="46"/>
      <c r="I11" s="46"/>
      <c r="J11" s="46"/>
      <c r="K11" s="46"/>
    </row>
    <row r="12" spans="1:11" ht="27.75" customHeight="1" x14ac:dyDescent="0.35">
      <c r="A12" s="28" t="s">
        <v>155</v>
      </c>
      <c r="B12" s="46" t="s">
        <v>174</v>
      </c>
      <c r="C12" s="46"/>
      <c r="D12" s="46" t="s">
        <v>174</v>
      </c>
      <c r="E12" s="46"/>
      <c r="F12" s="46" t="s">
        <v>174</v>
      </c>
      <c r="G12" s="46"/>
      <c r="H12" s="46"/>
      <c r="I12" s="46"/>
      <c r="J12" s="46"/>
      <c r="K12" s="46"/>
    </row>
    <row r="13" spans="1:11" ht="27.75" customHeight="1" x14ac:dyDescent="0.35">
      <c r="A13" s="24" t="s">
        <v>156</v>
      </c>
      <c r="B13" s="46" t="s">
        <v>174</v>
      </c>
      <c r="C13" s="46"/>
      <c r="D13" s="46" t="s">
        <v>174</v>
      </c>
      <c r="E13" s="46"/>
      <c r="F13" s="46" t="s">
        <v>174</v>
      </c>
      <c r="G13" s="46"/>
      <c r="H13" s="46"/>
      <c r="I13" s="46"/>
      <c r="J13" s="46"/>
      <c r="K13" s="46"/>
    </row>
    <row r="15" spans="1:11" ht="18" customHeight="1" x14ac:dyDescent="0.35">
      <c r="A15" s="53" t="s">
        <v>157</v>
      </c>
      <c r="B15" s="53"/>
      <c r="C15" s="53"/>
      <c r="D15" s="53"/>
      <c r="E15" s="53"/>
      <c r="F15" s="53"/>
      <c r="G15" s="53"/>
    </row>
    <row r="16" spans="1:11" ht="15.75" customHeight="1" x14ac:dyDescent="0.35">
      <c r="A16" s="37" t="s">
        <v>153</v>
      </c>
      <c r="B16" s="47" t="s">
        <v>147</v>
      </c>
      <c r="C16" s="47"/>
      <c r="D16" s="47" t="s">
        <v>148</v>
      </c>
      <c r="E16" s="47"/>
      <c r="F16" s="47" t="s">
        <v>167</v>
      </c>
      <c r="G16" s="47"/>
      <c r="H16" s="47" t="s">
        <v>168</v>
      </c>
      <c r="I16" s="47"/>
      <c r="J16" s="47" t="s">
        <v>169</v>
      </c>
      <c r="K16" s="47"/>
    </row>
    <row r="17" spans="1:11" ht="27.75" customHeight="1" x14ac:dyDescent="0.35">
      <c r="A17" s="22" t="s">
        <v>158</v>
      </c>
      <c r="B17" s="46" t="s">
        <v>174</v>
      </c>
      <c r="C17" s="46"/>
      <c r="D17" s="46" t="s">
        <v>174</v>
      </c>
      <c r="E17" s="46"/>
      <c r="F17" s="46" t="s">
        <v>174</v>
      </c>
      <c r="G17" s="46"/>
      <c r="H17" s="46"/>
      <c r="I17" s="46"/>
      <c r="J17" s="46"/>
      <c r="K17" s="46"/>
    </row>
    <row r="18" spans="1:11" ht="27.75" customHeight="1" x14ac:dyDescent="0.35">
      <c r="A18" s="28" t="s">
        <v>159</v>
      </c>
      <c r="B18" s="46" t="s">
        <v>174</v>
      </c>
      <c r="C18" s="46"/>
      <c r="D18" s="46" t="s">
        <v>174</v>
      </c>
      <c r="E18" s="46"/>
      <c r="F18" s="46" t="s">
        <v>174</v>
      </c>
      <c r="G18" s="46"/>
      <c r="H18" s="46"/>
      <c r="I18" s="46"/>
      <c r="J18" s="46"/>
      <c r="K18" s="46"/>
    </row>
    <row r="19" spans="1:11" ht="27.75" customHeight="1" x14ac:dyDescent="0.35">
      <c r="A19" s="22" t="s">
        <v>160</v>
      </c>
      <c r="B19" s="46" t="s">
        <v>174</v>
      </c>
      <c r="C19" s="46"/>
      <c r="D19" s="46" t="s">
        <v>174</v>
      </c>
      <c r="E19" s="46"/>
      <c r="F19" s="46" t="s">
        <v>174</v>
      </c>
      <c r="G19" s="46"/>
      <c r="H19" s="46"/>
      <c r="I19" s="46"/>
      <c r="J19" s="46"/>
      <c r="K19" s="46"/>
    </row>
    <row r="21" spans="1:11" ht="18" customHeight="1" x14ac:dyDescent="0.35">
      <c r="A21" s="52" t="s">
        <v>161</v>
      </c>
      <c r="B21" s="52"/>
      <c r="C21" s="52"/>
      <c r="D21" s="52"/>
      <c r="E21" s="52"/>
      <c r="F21" s="52"/>
      <c r="G21" s="52"/>
    </row>
    <row r="22" spans="1:11" ht="15.75" customHeight="1" x14ac:dyDescent="0.35">
      <c r="A22" s="37" t="s">
        <v>153</v>
      </c>
      <c r="B22" s="47" t="s">
        <v>147</v>
      </c>
      <c r="C22" s="47"/>
      <c r="D22" s="47" t="s">
        <v>148</v>
      </c>
      <c r="E22" s="47"/>
      <c r="F22" s="47" t="s">
        <v>167</v>
      </c>
      <c r="G22" s="47"/>
      <c r="H22" s="47" t="s">
        <v>168</v>
      </c>
      <c r="I22" s="47"/>
      <c r="J22" s="47" t="s">
        <v>169</v>
      </c>
      <c r="K22" s="47"/>
    </row>
    <row r="23" spans="1:11" ht="27.75" customHeight="1" x14ac:dyDescent="0.35">
      <c r="A23" s="26" t="s">
        <v>162</v>
      </c>
      <c r="B23" s="46" t="s">
        <v>174</v>
      </c>
      <c r="C23" s="46"/>
      <c r="D23" s="46" t="s">
        <v>174</v>
      </c>
      <c r="E23" s="46"/>
      <c r="F23" s="46" t="s">
        <v>174</v>
      </c>
      <c r="G23" s="46"/>
      <c r="H23" s="46"/>
      <c r="I23" s="46"/>
      <c r="J23" s="46"/>
      <c r="K23" s="46"/>
    </row>
    <row r="24" spans="1:11" ht="27.75" customHeight="1" x14ac:dyDescent="0.35">
      <c r="A24" s="28" t="s">
        <v>163</v>
      </c>
      <c r="B24" s="46" t="s">
        <v>174</v>
      </c>
      <c r="C24" s="46"/>
      <c r="D24" s="46" t="s">
        <v>174</v>
      </c>
      <c r="E24" s="46"/>
      <c r="F24" s="46" t="s">
        <v>174</v>
      </c>
      <c r="G24" s="46"/>
      <c r="H24" s="46"/>
      <c r="I24" s="46"/>
      <c r="J24" s="46"/>
      <c r="K24" s="46"/>
    </row>
    <row r="25" spans="1:11" ht="27.75" customHeight="1" x14ac:dyDescent="0.35">
      <c r="A25" s="26" t="s">
        <v>164</v>
      </c>
      <c r="B25" s="46" t="s">
        <v>174</v>
      </c>
      <c r="C25" s="46"/>
      <c r="D25" s="46" t="s">
        <v>174</v>
      </c>
      <c r="E25" s="46"/>
      <c r="F25" s="46" t="s">
        <v>174</v>
      </c>
      <c r="G25" s="46"/>
      <c r="H25" s="46"/>
      <c r="I25" s="46"/>
      <c r="J25" s="46"/>
      <c r="K25" s="46"/>
    </row>
    <row r="27" spans="1:11" ht="18" customHeight="1" x14ac:dyDescent="0.35">
      <c r="A27" s="50" t="s">
        <v>165</v>
      </c>
      <c r="B27" s="50"/>
      <c r="C27" s="50"/>
      <c r="D27" s="50"/>
      <c r="E27" s="50"/>
      <c r="F27" s="50"/>
      <c r="G27" s="50"/>
    </row>
    <row r="28" spans="1:11" ht="64" customHeight="1" x14ac:dyDescent="0.35">
      <c r="A28" s="36" t="s">
        <v>166</v>
      </c>
      <c r="B28" s="49" t="s">
        <v>175</v>
      </c>
      <c r="C28" s="49"/>
      <c r="D28" s="49" t="s">
        <v>176</v>
      </c>
      <c r="E28" s="49"/>
      <c r="F28" s="49" t="s">
        <v>177</v>
      </c>
      <c r="G28" s="49"/>
      <c r="H28" s="49"/>
      <c r="I28" s="49"/>
      <c r="J28" s="49"/>
      <c r="K28" s="49"/>
    </row>
    <row r="30" spans="1:11" ht="19.5" customHeight="1" x14ac:dyDescent="0.35">
      <c r="A30" s="51" t="s">
        <v>178</v>
      </c>
      <c r="B30" s="51"/>
      <c r="C30" s="51"/>
      <c r="D30" s="51"/>
      <c r="E30" s="51"/>
      <c r="F30" s="51"/>
      <c r="G30" s="51"/>
    </row>
  </sheetData>
  <mergeCells count="88">
    <mergeCell ref="A1:G1"/>
    <mergeCell ref="A2:G2"/>
    <mergeCell ref="A3:C3"/>
    <mergeCell ref="D3:E3"/>
    <mergeCell ref="F3:G3"/>
    <mergeCell ref="A4:G4"/>
    <mergeCell ref="A5:G5"/>
    <mergeCell ref="B6:C6"/>
    <mergeCell ref="D6:E6"/>
    <mergeCell ref="B7:C7"/>
    <mergeCell ref="D7:E7"/>
    <mergeCell ref="A8:G8"/>
    <mergeCell ref="A9:G9"/>
    <mergeCell ref="B10:C10"/>
    <mergeCell ref="D10:E10"/>
    <mergeCell ref="B11:C11"/>
    <mergeCell ref="D11:E11"/>
    <mergeCell ref="B12:C12"/>
    <mergeCell ref="D12:E12"/>
    <mergeCell ref="B13:C13"/>
    <mergeCell ref="D13:E13"/>
    <mergeCell ref="A15:G15"/>
    <mergeCell ref="B16:C16"/>
    <mergeCell ref="D16:E16"/>
    <mergeCell ref="B17:C17"/>
    <mergeCell ref="D17:E17"/>
    <mergeCell ref="B18:C18"/>
    <mergeCell ref="D18:E18"/>
    <mergeCell ref="B19:C19"/>
    <mergeCell ref="D19:E19"/>
    <mergeCell ref="A21:G21"/>
    <mergeCell ref="B22:C22"/>
    <mergeCell ref="D22:E22"/>
    <mergeCell ref="A30:G30"/>
    <mergeCell ref="F6:G6"/>
    <mergeCell ref="F7:G7"/>
    <mergeCell ref="F10:G10"/>
    <mergeCell ref="F11:G11"/>
    <mergeCell ref="F12:G12"/>
    <mergeCell ref="F13:G13"/>
    <mergeCell ref="F16:G16"/>
    <mergeCell ref="F17:G17"/>
    <mergeCell ref="F18:G18"/>
    <mergeCell ref="F19:G19"/>
    <mergeCell ref="F22:G22"/>
    <mergeCell ref="F23:G23"/>
    <mergeCell ref="B23:C23"/>
    <mergeCell ref="D23:E23"/>
    <mergeCell ref="B24:C24"/>
    <mergeCell ref="F24:G24"/>
    <mergeCell ref="F25:G25"/>
    <mergeCell ref="F28:G28"/>
    <mergeCell ref="H28:I28"/>
    <mergeCell ref="J28:K28"/>
    <mergeCell ref="H25:I25"/>
    <mergeCell ref="J25:K25"/>
    <mergeCell ref="A27:G27"/>
    <mergeCell ref="B28:C28"/>
    <mergeCell ref="D28:E28"/>
    <mergeCell ref="D24:E24"/>
    <mergeCell ref="B25:C25"/>
    <mergeCell ref="D25:E25"/>
    <mergeCell ref="H22:I22"/>
    <mergeCell ref="J22:K22"/>
    <mergeCell ref="H23:I23"/>
    <mergeCell ref="J23:K23"/>
    <mergeCell ref="H24:I24"/>
    <mergeCell ref="J24:K24"/>
    <mergeCell ref="H19:I19"/>
    <mergeCell ref="J19:K19"/>
    <mergeCell ref="H10:I10"/>
    <mergeCell ref="J10:K10"/>
    <mergeCell ref="H11:I11"/>
    <mergeCell ref="J11:K11"/>
    <mergeCell ref="H12:I12"/>
    <mergeCell ref="J12:K12"/>
    <mergeCell ref="H13:I13"/>
    <mergeCell ref="J13:K13"/>
    <mergeCell ref="H18:I18"/>
    <mergeCell ref="J18:K18"/>
    <mergeCell ref="H17:I17"/>
    <mergeCell ref="J17:K17"/>
    <mergeCell ref="H16:I16"/>
    <mergeCell ref="J16:K16"/>
    <mergeCell ref="H6:I6"/>
    <mergeCell ref="J6:K6"/>
    <mergeCell ref="H7:I7"/>
    <mergeCell ref="J7:K7"/>
  </mergeCells>
  <phoneticPr fontId="20" type="noConversion"/>
  <dataValidations count="1">
    <dataValidation type="list" allowBlank="1" sqref="B11:B13 D11:D13 B17:B19 D17:D19 B23:B25 D23:D25 F11:F13 F17:F19 F23:F25 H23:H25 J23:J25 H17:H19 J17:J19 H11:H13 J11:J13" xr:uid="{00000000-0002-0000-0500-000000000000}">
      <formula1>"Siempre (4),Frecuentemente (3),A veces (2),Nunca / No participó (1)"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4"/>
  <sheetViews>
    <sheetView showGridLines="0" zoomScaleNormal="100" workbookViewId="0">
      <pane ySplit="3" topLeftCell="A4" activePane="bottomLeft" state="frozen"/>
      <selection pane="bottomLeft" sqref="A1:C1"/>
    </sheetView>
  </sheetViews>
  <sheetFormatPr baseColWidth="10" defaultColWidth="8.6328125" defaultRowHeight="14.5" x14ac:dyDescent="0.35"/>
  <cols>
    <col min="1" max="2" width="14" customWidth="1"/>
    <col min="3" max="3" width="30" customWidth="1"/>
  </cols>
  <sheetData>
    <row r="1" spans="1:3" ht="25.5" customHeight="1" x14ac:dyDescent="0.35">
      <c r="A1" s="56" t="s">
        <v>133</v>
      </c>
      <c r="B1" s="56"/>
      <c r="C1" s="56"/>
    </row>
    <row r="2" spans="1:3" ht="15" customHeight="1" x14ac:dyDescent="0.35">
      <c r="A2" s="57" t="s">
        <v>134</v>
      </c>
      <c r="B2" s="57"/>
      <c r="C2" s="57"/>
    </row>
    <row r="3" spans="1:3" ht="15.75" customHeight="1" x14ac:dyDescent="0.35">
      <c r="A3" s="21" t="s">
        <v>135</v>
      </c>
      <c r="B3" s="21" t="s">
        <v>136</v>
      </c>
      <c r="C3" s="21" t="s">
        <v>137</v>
      </c>
    </row>
    <row r="4" spans="1:3" x14ac:dyDescent="0.35">
      <c r="A4" s="29">
        <v>0</v>
      </c>
      <c r="B4" s="30">
        <v>1</v>
      </c>
      <c r="C4" s="31" t="s">
        <v>138</v>
      </c>
    </row>
    <row r="5" spans="1:3" x14ac:dyDescent="0.35">
      <c r="A5" s="29">
        <v>1</v>
      </c>
      <c r="B5" s="30">
        <v>1.1000000000000001</v>
      </c>
      <c r="C5" s="31"/>
    </row>
    <row r="6" spans="1:3" x14ac:dyDescent="0.35">
      <c r="A6" s="29">
        <v>2</v>
      </c>
      <c r="B6" s="30">
        <v>1.1000000000000001</v>
      </c>
      <c r="C6" s="31"/>
    </row>
    <row r="7" spans="1:3" x14ac:dyDescent="0.35">
      <c r="A7" s="29">
        <v>3</v>
      </c>
      <c r="B7" s="30">
        <v>1.1000000000000001</v>
      </c>
      <c r="C7" s="31"/>
    </row>
    <row r="8" spans="1:3" x14ac:dyDescent="0.35">
      <c r="A8" s="29">
        <v>4</v>
      </c>
      <c r="B8" s="30">
        <v>1.2</v>
      </c>
      <c r="C8" s="31"/>
    </row>
    <row r="9" spans="1:3" x14ac:dyDescent="0.35">
      <c r="A9" s="29">
        <v>5</v>
      </c>
      <c r="B9" s="30">
        <v>1.2</v>
      </c>
      <c r="C9" s="31"/>
    </row>
    <row r="10" spans="1:3" x14ac:dyDescent="0.35">
      <c r="A10" s="29">
        <v>6</v>
      </c>
      <c r="B10" s="30">
        <v>1.3</v>
      </c>
      <c r="C10" s="31"/>
    </row>
    <row r="11" spans="1:3" x14ac:dyDescent="0.35">
      <c r="A11" s="29">
        <v>7</v>
      </c>
      <c r="B11" s="30">
        <v>1.4</v>
      </c>
      <c r="C11" s="31"/>
    </row>
    <row r="12" spans="1:3" x14ac:dyDescent="0.35">
      <c r="A12" s="29">
        <v>8</v>
      </c>
      <c r="B12" s="30">
        <v>1.4</v>
      </c>
      <c r="C12" s="31"/>
    </row>
    <row r="13" spans="1:3" x14ac:dyDescent="0.35">
      <c r="A13" s="29">
        <v>9</v>
      </c>
      <c r="B13" s="30">
        <v>1.4</v>
      </c>
      <c r="C13" s="31"/>
    </row>
    <row r="14" spans="1:3" x14ac:dyDescent="0.35">
      <c r="A14" s="29">
        <v>10</v>
      </c>
      <c r="B14" s="30">
        <v>1.5</v>
      </c>
      <c r="C14" s="31"/>
    </row>
    <row r="15" spans="1:3" x14ac:dyDescent="0.35">
      <c r="A15" s="29">
        <v>11</v>
      </c>
      <c r="B15" s="30">
        <v>1.6</v>
      </c>
      <c r="C15" s="31"/>
    </row>
    <row r="16" spans="1:3" x14ac:dyDescent="0.35">
      <c r="A16" s="29">
        <v>12</v>
      </c>
      <c r="B16" s="30">
        <v>1.6</v>
      </c>
      <c r="C16" s="31"/>
    </row>
    <row r="17" spans="1:3" x14ac:dyDescent="0.35">
      <c r="A17" s="29">
        <v>13</v>
      </c>
      <c r="B17" s="30">
        <v>1.6</v>
      </c>
      <c r="C17" s="31"/>
    </row>
    <row r="18" spans="1:3" x14ac:dyDescent="0.35">
      <c r="A18" s="29">
        <v>14</v>
      </c>
      <c r="B18" s="30">
        <v>1.7</v>
      </c>
      <c r="C18" s="31"/>
    </row>
    <row r="19" spans="1:3" x14ac:dyDescent="0.35">
      <c r="A19" s="29">
        <v>15</v>
      </c>
      <c r="B19" s="30">
        <v>1.8</v>
      </c>
      <c r="C19" s="31"/>
    </row>
    <row r="20" spans="1:3" x14ac:dyDescent="0.35">
      <c r="A20" s="29">
        <v>16</v>
      </c>
      <c r="B20" s="30">
        <v>1.8</v>
      </c>
      <c r="C20" s="31"/>
    </row>
    <row r="21" spans="1:3" x14ac:dyDescent="0.35">
      <c r="A21" s="29">
        <v>17</v>
      </c>
      <c r="B21" s="30">
        <v>1.9</v>
      </c>
      <c r="C21" s="31"/>
    </row>
    <row r="22" spans="1:3" x14ac:dyDescent="0.35">
      <c r="A22" s="29">
        <v>18</v>
      </c>
      <c r="B22" s="30">
        <v>1.9</v>
      </c>
      <c r="C22" s="31"/>
    </row>
    <row r="23" spans="1:3" x14ac:dyDescent="0.35">
      <c r="A23" s="29">
        <v>19</v>
      </c>
      <c r="B23" s="30">
        <v>2</v>
      </c>
      <c r="C23" s="31"/>
    </row>
    <row r="24" spans="1:3" x14ac:dyDescent="0.35">
      <c r="A24" s="29">
        <v>20</v>
      </c>
      <c r="B24" s="30">
        <v>2</v>
      </c>
      <c r="C24" s="31"/>
    </row>
    <row r="25" spans="1:3" x14ac:dyDescent="0.35">
      <c r="A25" s="29">
        <v>21</v>
      </c>
      <c r="B25" s="30">
        <v>2</v>
      </c>
      <c r="C25" s="31"/>
    </row>
    <row r="26" spans="1:3" x14ac:dyDescent="0.35">
      <c r="A26" s="29">
        <v>22</v>
      </c>
      <c r="B26" s="30">
        <v>2.1</v>
      </c>
      <c r="C26" s="31"/>
    </row>
    <row r="27" spans="1:3" x14ac:dyDescent="0.35">
      <c r="A27" s="29">
        <v>23</v>
      </c>
      <c r="B27" s="30">
        <v>2.2000000000000002</v>
      </c>
      <c r="C27" s="31"/>
    </row>
    <row r="28" spans="1:3" x14ac:dyDescent="0.35">
      <c r="A28" s="29">
        <v>24</v>
      </c>
      <c r="B28" s="30">
        <v>2.2000000000000002</v>
      </c>
      <c r="C28" s="31"/>
    </row>
    <row r="29" spans="1:3" x14ac:dyDescent="0.35">
      <c r="A29" s="29">
        <v>25</v>
      </c>
      <c r="B29" s="30">
        <v>2.2000000000000002</v>
      </c>
      <c r="C29" s="31"/>
    </row>
    <row r="30" spans="1:3" x14ac:dyDescent="0.35">
      <c r="A30" s="29">
        <v>26</v>
      </c>
      <c r="B30" s="30">
        <v>2.2999999999999998</v>
      </c>
      <c r="C30" s="31"/>
    </row>
    <row r="31" spans="1:3" x14ac:dyDescent="0.35">
      <c r="A31" s="29">
        <v>27</v>
      </c>
      <c r="B31" s="30">
        <v>2.4</v>
      </c>
      <c r="C31" s="31"/>
    </row>
    <row r="32" spans="1:3" x14ac:dyDescent="0.35">
      <c r="A32" s="29">
        <v>28</v>
      </c>
      <c r="B32" s="30">
        <v>2.4</v>
      </c>
      <c r="C32" s="31"/>
    </row>
    <row r="33" spans="1:3" x14ac:dyDescent="0.35">
      <c r="A33" s="29">
        <v>29</v>
      </c>
      <c r="B33" s="30">
        <v>2.5</v>
      </c>
      <c r="C33" s="31"/>
    </row>
    <row r="34" spans="1:3" x14ac:dyDescent="0.35">
      <c r="A34" s="29">
        <v>30</v>
      </c>
      <c r="B34" s="30">
        <v>2.5</v>
      </c>
      <c r="C34" s="31"/>
    </row>
    <row r="35" spans="1:3" x14ac:dyDescent="0.35">
      <c r="A35" s="29">
        <v>31</v>
      </c>
      <c r="B35" s="30">
        <v>2.6</v>
      </c>
      <c r="C35" s="31"/>
    </row>
    <row r="36" spans="1:3" x14ac:dyDescent="0.35">
      <c r="A36" s="29">
        <v>32</v>
      </c>
      <c r="B36" s="30">
        <v>2.6</v>
      </c>
      <c r="C36" s="31"/>
    </row>
    <row r="37" spans="1:3" x14ac:dyDescent="0.35">
      <c r="A37" s="29">
        <v>33</v>
      </c>
      <c r="B37" s="30">
        <v>2.7</v>
      </c>
      <c r="C37" s="31"/>
    </row>
    <row r="38" spans="1:3" x14ac:dyDescent="0.35">
      <c r="A38" s="29">
        <v>34</v>
      </c>
      <c r="B38" s="30">
        <v>2.7</v>
      </c>
      <c r="C38" s="31"/>
    </row>
    <row r="39" spans="1:3" x14ac:dyDescent="0.35">
      <c r="A39" s="29">
        <v>35</v>
      </c>
      <c r="B39" s="30">
        <v>2.8</v>
      </c>
      <c r="C39" s="31"/>
    </row>
    <row r="40" spans="1:3" x14ac:dyDescent="0.35">
      <c r="A40" s="29">
        <v>36</v>
      </c>
      <c r="B40" s="30">
        <v>2.8</v>
      </c>
      <c r="C40" s="31"/>
    </row>
    <row r="41" spans="1:3" x14ac:dyDescent="0.35">
      <c r="A41" s="29">
        <v>37</v>
      </c>
      <c r="B41" s="30">
        <v>2.9</v>
      </c>
      <c r="C41" s="31"/>
    </row>
    <row r="42" spans="1:3" x14ac:dyDescent="0.35">
      <c r="A42" s="29">
        <v>38</v>
      </c>
      <c r="B42" s="30">
        <v>2.9</v>
      </c>
      <c r="C42" s="31"/>
    </row>
    <row r="43" spans="1:3" x14ac:dyDescent="0.35">
      <c r="A43" s="29">
        <v>39</v>
      </c>
      <c r="B43" s="30">
        <v>3</v>
      </c>
      <c r="C43" s="31"/>
    </row>
    <row r="44" spans="1:3" x14ac:dyDescent="0.35">
      <c r="A44" s="29">
        <v>40</v>
      </c>
      <c r="B44" s="30">
        <v>3</v>
      </c>
      <c r="C44" s="31"/>
    </row>
    <row r="45" spans="1:3" x14ac:dyDescent="0.35">
      <c r="A45" s="29">
        <v>41</v>
      </c>
      <c r="B45" s="30">
        <v>3</v>
      </c>
      <c r="C45" s="31"/>
    </row>
    <row r="46" spans="1:3" x14ac:dyDescent="0.35">
      <c r="A46" s="29">
        <v>42</v>
      </c>
      <c r="B46" s="30">
        <v>3.1</v>
      </c>
      <c r="C46" s="31"/>
    </row>
    <row r="47" spans="1:3" x14ac:dyDescent="0.35">
      <c r="A47" s="29">
        <v>43</v>
      </c>
      <c r="B47" s="30">
        <v>3.1</v>
      </c>
      <c r="C47" s="31"/>
    </row>
    <row r="48" spans="1:3" x14ac:dyDescent="0.35">
      <c r="A48" s="29">
        <v>44</v>
      </c>
      <c r="B48" s="30">
        <v>3.2</v>
      </c>
      <c r="C48" s="31"/>
    </row>
    <row r="49" spans="1:3" x14ac:dyDescent="0.35">
      <c r="A49" s="29">
        <v>45</v>
      </c>
      <c r="B49" s="30">
        <v>3.2</v>
      </c>
      <c r="C49" s="31"/>
    </row>
    <row r="50" spans="1:3" x14ac:dyDescent="0.35">
      <c r="A50" s="29">
        <v>46</v>
      </c>
      <c r="B50" s="30">
        <v>3.3</v>
      </c>
      <c r="C50" s="31"/>
    </row>
    <row r="51" spans="1:3" x14ac:dyDescent="0.35">
      <c r="A51" s="29">
        <v>47</v>
      </c>
      <c r="B51" s="30">
        <v>3.4</v>
      </c>
      <c r="C51" s="31"/>
    </row>
    <row r="52" spans="1:3" x14ac:dyDescent="0.35">
      <c r="A52" s="29">
        <v>48</v>
      </c>
      <c r="B52" s="30">
        <v>3.4</v>
      </c>
      <c r="C52" s="31"/>
    </row>
    <row r="53" spans="1:3" x14ac:dyDescent="0.35">
      <c r="A53" s="29">
        <v>49</v>
      </c>
      <c r="B53" s="30">
        <v>3.5</v>
      </c>
      <c r="C53" s="31"/>
    </row>
    <row r="54" spans="1:3" x14ac:dyDescent="0.35">
      <c r="A54" s="29">
        <v>50</v>
      </c>
      <c r="B54" s="30">
        <v>3.5</v>
      </c>
      <c r="C54" s="31"/>
    </row>
    <row r="55" spans="1:3" x14ac:dyDescent="0.35">
      <c r="A55" s="29">
        <v>51</v>
      </c>
      <c r="B55" s="30">
        <v>3.6</v>
      </c>
      <c r="C55" s="31"/>
    </row>
    <row r="56" spans="1:3" x14ac:dyDescent="0.35">
      <c r="A56" s="29">
        <v>52</v>
      </c>
      <c r="B56" s="30">
        <v>3.6</v>
      </c>
      <c r="C56" s="31"/>
    </row>
    <row r="57" spans="1:3" x14ac:dyDescent="0.35">
      <c r="A57" s="29">
        <v>53</v>
      </c>
      <c r="B57" s="30">
        <v>3.7</v>
      </c>
      <c r="C57" s="31"/>
    </row>
    <row r="58" spans="1:3" x14ac:dyDescent="0.35">
      <c r="A58" s="29">
        <v>54</v>
      </c>
      <c r="B58" s="30">
        <v>3.7</v>
      </c>
      <c r="C58" s="31"/>
    </row>
    <row r="59" spans="1:3" x14ac:dyDescent="0.35">
      <c r="A59" s="29">
        <v>55</v>
      </c>
      <c r="B59" s="30">
        <v>3.8</v>
      </c>
      <c r="C59" s="31"/>
    </row>
    <row r="60" spans="1:3" x14ac:dyDescent="0.35">
      <c r="A60" s="29">
        <v>56</v>
      </c>
      <c r="B60" s="30">
        <v>3.8</v>
      </c>
      <c r="C60" s="31"/>
    </row>
    <row r="61" spans="1:3" x14ac:dyDescent="0.35">
      <c r="A61" s="29">
        <v>57</v>
      </c>
      <c r="B61" s="30">
        <v>3.8</v>
      </c>
      <c r="C61" s="31"/>
    </row>
    <row r="62" spans="1:3" x14ac:dyDescent="0.35">
      <c r="A62" s="29">
        <v>58</v>
      </c>
      <c r="B62" s="30">
        <v>3.9</v>
      </c>
      <c r="C62" s="31"/>
    </row>
    <row r="63" spans="1:3" x14ac:dyDescent="0.35">
      <c r="A63" s="29">
        <v>59</v>
      </c>
      <c r="B63" s="30">
        <v>3.9</v>
      </c>
      <c r="C63" s="31"/>
    </row>
    <row r="64" spans="1:3" x14ac:dyDescent="0.35">
      <c r="A64" s="2">
        <v>60</v>
      </c>
      <c r="B64" s="32">
        <v>4</v>
      </c>
      <c r="C64" s="33" t="s">
        <v>139</v>
      </c>
    </row>
    <row r="65" spans="1:3" x14ac:dyDescent="0.35">
      <c r="A65" s="25">
        <v>61</v>
      </c>
      <c r="B65" s="34">
        <v>4.0999999999999996</v>
      </c>
      <c r="C65" s="35"/>
    </row>
    <row r="66" spans="1:3" x14ac:dyDescent="0.35">
      <c r="A66" s="25">
        <v>62</v>
      </c>
      <c r="B66" s="34">
        <v>4.2</v>
      </c>
      <c r="C66" s="35"/>
    </row>
    <row r="67" spans="1:3" x14ac:dyDescent="0.35">
      <c r="A67" s="25">
        <v>63</v>
      </c>
      <c r="B67" s="34">
        <v>4.2</v>
      </c>
      <c r="C67" s="35"/>
    </row>
    <row r="68" spans="1:3" x14ac:dyDescent="0.35">
      <c r="A68" s="25">
        <v>64</v>
      </c>
      <c r="B68" s="34">
        <v>4.3</v>
      </c>
      <c r="C68" s="35"/>
    </row>
    <row r="69" spans="1:3" x14ac:dyDescent="0.35">
      <c r="A69" s="25">
        <v>65</v>
      </c>
      <c r="B69" s="34">
        <v>4.4000000000000004</v>
      </c>
      <c r="C69" s="35"/>
    </row>
    <row r="70" spans="1:3" x14ac:dyDescent="0.35">
      <c r="A70" s="25">
        <v>66</v>
      </c>
      <c r="B70" s="34">
        <v>4.5</v>
      </c>
      <c r="C70" s="35"/>
    </row>
    <row r="71" spans="1:3" x14ac:dyDescent="0.35">
      <c r="A71" s="25">
        <v>67</v>
      </c>
      <c r="B71" s="34">
        <v>4.5</v>
      </c>
      <c r="C71" s="35"/>
    </row>
    <row r="72" spans="1:3" x14ac:dyDescent="0.35">
      <c r="A72" s="25">
        <v>68</v>
      </c>
      <c r="B72" s="34">
        <v>4.5999999999999996</v>
      </c>
      <c r="C72" s="35"/>
    </row>
    <row r="73" spans="1:3" x14ac:dyDescent="0.35">
      <c r="A73" s="25">
        <v>69</v>
      </c>
      <c r="B73" s="34">
        <v>4.7</v>
      </c>
      <c r="C73" s="35"/>
    </row>
    <row r="74" spans="1:3" x14ac:dyDescent="0.35">
      <c r="A74" s="25">
        <v>70</v>
      </c>
      <c r="B74" s="34">
        <v>4.8</v>
      </c>
      <c r="C74" s="35"/>
    </row>
    <row r="75" spans="1:3" x14ac:dyDescent="0.35">
      <c r="A75" s="25">
        <v>71</v>
      </c>
      <c r="B75" s="34">
        <v>4.8</v>
      </c>
      <c r="C75" s="35"/>
    </row>
    <row r="76" spans="1:3" x14ac:dyDescent="0.35">
      <c r="A76" s="25">
        <v>72</v>
      </c>
      <c r="B76" s="34">
        <v>4.9000000000000004</v>
      </c>
      <c r="C76" s="35"/>
    </row>
    <row r="77" spans="1:3" x14ac:dyDescent="0.35">
      <c r="A77" s="25">
        <v>73</v>
      </c>
      <c r="B77" s="34">
        <v>5</v>
      </c>
      <c r="C77" s="35"/>
    </row>
    <row r="78" spans="1:3" x14ac:dyDescent="0.35">
      <c r="A78" s="25">
        <v>74</v>
      </c>
      <c r="B78" s="34">
        <v>5</v>
      </c>
      <c r="C78" s="35"/>
    </row>
    <row r="79" spans="1:3" x14ac:dyDescent="0.35">
      <c r="A79" s="25">
        <v>75</v>
      </c>
      <c r="B79" s="34">
        <v>5.0999999999999996</v>
      </c>
      <c r="C79" s="35"/>
    </row>
    <row r="80" spans="1:3" x14ac:dyDescent="0.35">
      <c r="A80" s="25">
        <v>76</v>
      </c>
      <c r="B80" s="34">
        <v>5.2</v>
      </c>
      <c r="C80" s="35"/>
    </row>
    <row r="81" spans="1:3" x14ac:dyDescent="0.35">
      <c r="A81" s="25">
        <v>77</v>
      </c>
      <c r="B81" s="34">
        <v>5.3</v>
      </c>
      <c r="C81" s="35"/>
    </row>
    <row r="82" spans="1:3" x14ac:dyDescent="0.35">
      <c r="A82" s="25">
        <v>78</v>
      </c>
      <c r="B82" s="34">
        <v>5.4</v>
      </c>
      <c r="C82" s="35"/>
    </row>
    <row r="83" spans="1:3" x14ac:dyDescent="0.35">
      <c r="A83" s="25">
        <v>79</v>
      </c>
      <c r="B83" s="34">
        <v>5.4</v>
      </c>
      <c r="C83" s="35"/>
    </row>
    <row r="84" spans="1:3" x14ac:dyDescent="0.35">
      <c r="A84" s="25">
        <v>80</v>
      </c>
      <c r="B84" s="34">
        <v>5.5</v>
      </c>
      <c r="C84" s="35"/>
    </row>
    <row r="85" spans="1:3" x14ac:dyDescent="0.35">
      <c r="A85" s="25">
        <v>81</v>
      </c>
      <c r="B85" s="34">
        <v>5.6</v>
      </c>
      <c r="C85" s="35"/>
    </row>
    <row r="86" spans="1:3" x14ac:dyDescent="0.35">
      <c r="A86" s="25">
        <v>82</v>
      </c>
      <c r="B86" s="34">
        <v>5.7</v>
      </c>
      <c r="C86" s="35"/>
    </row>
    <row r="87" spans="1:3" x14ac:dyDescent="0.35">
      <c r="A87" s="25">
        <v>83</v>
      </c>
      <c r="B87" s="34">
        <v>5.7</v>
      </c>
      <c r="C87" s="35"/>
    </row>
    <row r="88" spans="1:3" x14ac:dyDescent="0.35">
      <c r="A88" s="25">
        <v>84</v>
      </c>
      <c r="B88" s="34">
        <v>5.8</v>
      </c>
      <c r="C88" s="35"/>
    </row>
    <row r="89" spans="1:3" x14ac:dyDescent="0.35">
      <c r="A89" s="25">
        <v>85</v>
      </c>
      <c r="B89" s="34">
        <v>5.9</v>
      </c>
      <c r="C89" s="35"/>
    </row>
    <row r="90" spans="1:3" x14ac:dyDescent="0.35">
      <c r="A90" s="25">
        <v>86</v>
      </c>
      <c r="B90" s="34">
        <v>6</v>
      </c>
      <c r="C90" s="35"/>
    </row>
    <row r="91" spans="1:3" x14ac:dyDescent="0.35">
      <c r="A91" s="25">
        <v>87</v>
      </c>
      <c r="B91" s="34">
        <v>6</v>
      </c>
      <c r="C91" s="35"/>
    </row>
    <row r="92" spans="1:3" x14ac:dyDescent="0.35">
      <c r="A92" s="25">
        <v>88</v>
      </c>
      <c r="B92" s="34">
        <v>6.1</v>
      </c>
      <c r="C92" s="35"/>
    </row>
    <row r="93" spans="1:3" x14ac:dyDescent="0.35">
      <c r="A93" s="25">
        <v>89</v>
      </c>
      <c r="B93" s="34">
        <v>6.2</v>
      </c>
      <c r="C93" s="35"/>
    </row>
    <row r="94" spans="1:3" x14ac:dyDescent="0.35">
      <c r="A94" s="25">
        <v>90</v>
      </c>
      <c r="B94" s="34">
        <v>6.2</v>
      </c>
      <c r="C94" s="35"/>
    </row>
    <row r="95" spans="1:3" x14ac:dyDescent="0.35">
      <c r="A95" s="25">
        <v>91</v>
      </c>
      <c r="B95" s="34">
        <v>6.3</v>
      </c>
      <c r="C95" s="35"/>
    </row>
    <row r="96" spans="1:3" x14ac:dyDescent="0.35">
      <c r="A96" s="25">
        <v>92</v>
      </c>
      <c r="B96" s="34">
        <v>6.4</v>
      </c>
      <c r="C96" s="35"/>
    </row>
    <row r="97" spans="1:3" x14ac:dyDescent="0.35">
      <c r="A97" s="25">
        <v>93</v>
      </c>
      <c r="B97" s="34">
        <v>6.5</v>
      </c>
      <c r="C97" s="35"/>
    </row>
    <row r="98" spans="1:3" x14ac:dyDescent="0.35">
      <c r="A98" s="25">
        <v>94</v>
      </c>
      <c r="B98" s="34">
        <v>6.5</v>
      </c>
      <c r="C98" s="35"/>
    </row>
    <row r="99" spans="1:3" x14ac:dyDescent="0.35">
      <c r="A99" s="25">
        <v>95</v>
      </c>
      <c r="B99" s="34">
        <v>6.6</v>
      </c>
      <c r="C99" s="35"/>
    </row>
    <row r="100" spans="1:3" x14ac:dyDescent="0.35">
      <c r="A100" s="25">
        <v>96</v>
      </c>
      <c r="B100" s="34">
        <v>6.7</v>
      </c>
      <c r="C100" s="35"/>
    </row>
    <row r="101" spans="1:3" x14ac:dyDescent="0.35">
      <c r="A101" s="25">
        <v>97</v>
      </c>
      <c r="B101" s="34">
        <v>6.8</v>
      </c>
      <c r="C101" s="35"/>
    </row>
    <row r="102" spans="1:3" x14ac:dyDescent="0.35">
      <c r="A102" s="25">
        <v>98</v>
      </c>
      <c r="B102" s="34">
        <v>6.8</v>
      </c>
      <c r="C102" s="35"/>
    </row>
    <row r="103" spans="1:3" x14ac:dyDescent="0.35">
      <c r="A103" s="25">
        <v>99</v>
      </c>
      <c r="B103" s="34">
        <v>6.9</v>
      </c>
      <c r="C103" s="35"/>
    </row>
    <row r="104" spans="1:3" x14ac:dyDescent="0.35">
      <c r="A104" s="25">
        <v>100</v>
      </c>
      <c r="B104" s="34">
        <v>7</v>
      </c>
      <c r="C104" s="35" t="s">
        <v>140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zoomScaleNormal="100" workbookViewId="0">
      <pane ySplit="5" topLeftCell="A6" activePane="bottomLeft" state="frozen"/>
      <selection pane="bottomLeft" sqref="A1:K1"/>
    </sheetView>
  </sheetViews>
  <sheetFormatPr baseColWidth="10" defaultColWidth="8.6328125" defaultRowHeight="14.5" x14ac:dyDescent="0.35"/>
  <cols>
    <col min="1" max="1" width="9" customWidth="1"/>
    <col min="2" max="2" width="36" customWidth="1"/>
    <col min="3" max="3" width="8" customWidth="1"/>
    <col min="4" max="8" width="16" customWidth="1"/>
    <col min="9" max="9" width="22" customWidth="1"/>
    <col min="10" max="10" width="10" customWidth="1"/>
    <col min="11" max="11" width="20" customWidth="1"/>
  </cols>
  <sheetData>
    <row r="1" spans="1:11" ht="25.5" customHeight="1" x14ac:dyDescent="0.3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5" customHeight="1" x14ac:dyDescent="0.35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ht="18" customHeight="1" x14ac:dyDescent="0.35">
      <c r="A3" s="58" t="s">
        <v>2</v>
      </c>
      <c r="B3" s="58"/>
      <c r="C3" s="58"/>
      <c r="D3" s="58"/>
      <c r="E3" s="63"/>
      <c r="F3" s="63"/>
      <c r="G3" s="63"/>
      <c r="H3" s="58" t="s">
        <v>3</v>
      </c>
      <c r="I3" s="58"/>
      <c r="J3" s="63"/>
      <c r="K3" s="63"/>
    </row>
    <row r="4" spans="1:11" ht="13.5" customHeight="1" x14ac:dyDescent="0.35">
      <c r="A4" s="60" t="s">
        <v>4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spans="1:11" ht="33.75" customHeight="1" x14ac:dyDescent="0.35">
      <c r="A5" s="1" t="s">
        <v>5</v>
      </c>
      <c r="B5" s="1" t="s">
        <v>6</v>
      </c>
      <c r="C5" s="1" t="s">
        <v>7</v>
      </c>
      <c r="D5" s="2" t="s">
        <v>8</v>
      </c>
      <c r="E5" s="3" t="s">
        <v>9</v>
      </c>
      <c r="F5" s="4" t="s">
        <v>10</v>
      </c>
      <c r="G5" s="5" t="s">
        <v>11</v>
      </c>
      <c r="H5" s="6" t="s">
        <v>12</v>
      </c>
      <c r="I5" s="7" t="s">
        <v>13</v>
      </c>
      <c r="J5" s="1" t="s">
        <v>14</v>
      </c>
      <c r="K5" s="1" t="s">
        <v>15</v>
      </c>
    </row>
    <row r="6" spans="1:11" ht="18" customHeight="1" x14ac:dyDescent="0.35">
      <c r="A6" s="61" t="s">
        <v>16</v>
      </c>
      <c r="B6" s="61"/>
      <c r="C6" s="61"/>
      <c r="D6" s="61"/>
      <c r="E6" s="61"/>
      <c r="F6" s="61"/>
      <c r="G6" s="61"/>
      <c r="H6" s="61"/>
      <c r="I6" s="61"/>
      <c r="J6" s="61"/>
      <c r="K6" s="61"/>
    </row>
    <row r="7" spans="1:11" ht="60" customHeight="1" x14ac:dyDescent="0.35">
      <c r="A7" s="8" t="s">
        <v>17</v>
      </c>
      <c r="B7" s="9" t="s">
        <v>18</v>
      </c>
      <c r="C7" s="10">
        <v>6</v>
      </c>
      <c r="D7" s="9" t="s">
        <v>19</v>
      </c>
      <c r="E7" s="9" t="s">
        <v>20</v>
      </c>
      <c r="F7" s="9" t="s">
        <v>21</v>
      </c>
      <c r="G7" s="9" t="s">
        <v>22</v>
      </c>
      <c r="H7" s="9" t="s">
        <v>23</v>
      </c>
      <c r="I7" s="11"/>
      <c r="J7" s="12" t="str">
        <f>IF(I7="Muy buen desempeño (100%)",6*1,IF(I7="Buen desempeño (80%)",6*0.8,IF(I7="Desempeño aceptable (60%)",6*0.6,IF(I7="Desempeño incipiente (30%)",6*0.3,IF(I7="Desempeño no logrado (0%)",0,"")))))</f>
        <v/>
      </c>
      <c r="K7" s="13"/>
    </row>
    <row r="8" spans="1:11" ht="60" customHeight="1" x14ac:dyDescent="0.35">
      <c r="A8" s="14" t="s">
        <v>24</v>
      </c>
      <c r="B8" s="15" t="s">
        <v>25</v>
      </c>
      <c r="C8" s="16">
        <v>18</v>
      </c>
      <c r="D8" s="15" t="s">
        <v>26</v>
      </c>
      <c r="E8" s="15" t="s">
        <v>27</v>
      </c>
      <c r="F8" s="15" t="s">
        <v>28</v>
      </c>
      <c r="G8" s="15" t="s">
        <v>29</v>
      </c>
      <c r="H8" s="15" t="s">
        <v>30</v>
      </c>
      <c r="I8" s="11"/>
      <c r="J8" s="17" t="str">
        <f>IF(I8="Muy buen desempeño (100%)",18*1,IF(I8="Buen desempeño (80%)",18*0.8,IF(I8="Desempeño aceptable (60%)",18*0.6,IF(I8="Desempeño incipiente (30%)",18*0.3,IF(I8="Desempeño no logrado (0%)",0,"")))))</f>
        <v/>
      </c>
      <c r="K8" s="18"/>
    </row>
    <row r="9" spans="1:11" ht="60" customHeight="1" x14ac:dyDescent="0.35">
      <c r="A9" s="8" t="s">
        <v>31</v>
      </c>
      <c r="B9" s="9" t="s">
        <v>32</v>
      </c>
      <c r="C9" s="10">
        <v>6</v>
      </c>
      <c r="D9" s="9" t="s">
        <v>33</v>
      </c>
      <c r="E9" s="9" t="s">
        <v>34</v>
      </c>
      <c r="F9" s="9" t="s">
        <v>35</v>
      </c>
      <c r="G9" s="9" t="s">
        <v>36</v>
      </c>
      <c r="H9" s="9" t="s">
        <v>37</v>
      </c>
      <c r="I9" s="11"/>
      <c r="J9" s="12" t="str">
        <f>IF(I9="Muy buen desempeño (100%)",6*1,IF(I9="Buen desempeño (80%)",6*0.8,IF(I9="Desempeño aceptable (60%)",6*0.6,IF(I9="Desempeño incipiente (30%)",6*0.3,IF(I9="Desempeño no logrado (0%)",0,"")))))</f>
        <v/>
      </c>
      <c r="K9" s="13"/>
    </row>
    <row r="10" spans="1:11" ht="18" customHeight="1" x14ac:dyDescent="0.35">
      <c r="A10" s="41" t="s">
        <v>38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 spans="1:11" ht="60" customHeight="1" x14ac:dyDescent="0.35">
      <c r="A11" s="14" t="s">
        <v>39</v>
      </c>
      <c r="B11" s="15" t="s">
        <v>40</v>
      </c>
      <c r="C11" s="16">
        <v>14</v>
      </c>
      <c r="D11" s="15" t="s">
        <v>41</v>
      </c>
      <c r="E11" s="15" t="s">
        <v>42</v>
      </c>
      <c r="F11" s="15" t="s">
        <v>43</v>
      </c>
      <c r="G11" s="15" t="s">
        <v>44</v>
      </c>
      <c r="H11" s="15" t="s">
        <v>45</v>
      </c>
      <c r="I11" s="11"/>
      <c r="J11" s="17" t="str">
        <f>IF(I11="Muy buen desempeño (100%)",14*1,IF(I11="Buen desempeño (80%)",14*0.8,IF(I11="Desempeño aceptable (60%)",14*0.6,IF(I11="Desempeño incipiente (30%)",14*0.3,IF(I11="Desempeño no logrado (0%)",0,"")))))</f>
        <v/>
      </c>
      <c r="K11" s="18"/>
    </row>
    <row r="12" spans="1:11" ht="60" customHeight="1" x14ac:dyDescent="0.35">
      <c r="A12" s="8" t="s">
        <v>46</v>
      </c>
      <c r="B12" s="9" t="s">
        <v>47</v>
      </c>
      <c r="C12" s="10">
        <v>21</v>
      </c>
      <c r="D12" s="9" t="s">
        <v>48</v>
      </c>
      <c r="E12" s="9" t="s">
        <v>49</v>
      </c>
      <c r="F12" s="9" t="s">
        <v>50</v>
      </c>
      <c r="G12" s="9" t="s">
        <v>51</v>
      </c>
      <c r="H12" s="9" t="s">
        <v>52</v>
      </c>
      <c r="I12" s="11"/>
      <c r="J12" s="12" t="str">
        <f>IF(I12="Muy buen desempeño (100%)",21*1,IF(I12="Buen desempeño (80%)",21*0.8,IF(I12="Desempeño aceptable (60%)",21*0.6,IF(I12="Desempeño incipiente (30%)",21*0.3,IF(I12="Desempeño no logrado (0%)",0,"")))))</f>
        <v/>
      </c>
      <c r="K12" s="13"/>
    </row>
    <row r="13" spans="1:11" ht="60" customHeight="1" x14ac:dyDescent="0.35">
      <c r="A13" s="14" t="s">
        <v>53</v>
      </c>
      <c r="B13" s="15" t="s">
        <v>54</v>
      </c>
      <c r="C13" s="16">
        <v>21</v>
      </c>
      <c r="D13" s="15" t="s">
        <v>55</v>
      </c>
      <c r="E13" s="15" t="s">
        <v>56</v>
      </c>
      <c r="F13" s="15" t="s">
        <v>57</v>
      </c>
      <c r="G13" s="15" t="s">
        <v>58</v>
      </c>
      <c r="H13" s="15" t="s">
        <v>59</v>
      </c>
      <c r="I13" s="11"/>
      <c r="J13" s="17" t="str">
        <f>IF(I13="Muy buen desempeño (100%)",21*1,IF(I13="Buen desempeño (80%)",21*0.8,IF(I13="Desempeño aceptable (60%)",21*0.6,IF(I13="Desempeño incipiente (30%)",21*0.3,IF(I13="Desempeño no logrado (0%)",0,"")))))</f>
        <v/>
      </c>
      <c r="K13" s="18"/>
    </row>
    <row r="14" spans="1:11" ht="60" customHeight="1" x14ac:dyDescent="0.35">
      <c r="A14" s="8" t="s">
        <v>60</v>
      </c>
      <c r="B14" s="9" t="s">
        <v>61</v>
      </c>
      <c r="C14" s="10">
        <v>14</v>
      </c>
      <c r="D14" s="9" t="s">
        <v>62</v>
      </c>
      <c r="E14" s="9" t="s">
        <v>63</v>
      </c>
      <c r="F14" s="9" t="s">
        <v>64</v>
      </c>
      <c r="G14" s="9" t="s">
        <v>65</v>
      </c>
      <c r="H14" s="9" t="s">
        <v>66</v>
      </c>
      <c r="I14" s="11"/>
      <c r="J14" s="12" t="str">
        <f>IF(I14="Muy buen desempeño (100%)",14*1,IF(I14="Buen desempeño (80%)",14*0.8,IF(I14="Desempeño aceptable (60%)",14*0.6,IF(I14="Desempeño incipiente (30%)",14*0.3,IF(I14="Desempeño no logrado (0%)",0,"")))))</f>
        <v/>
      </c>
      <c r="K14" s="13"/>
    </row>
    <row r="15" spans="1:11" ht="21.75" customHeight="1" x14ac:dyDescent="0.35">
      <c r="A15" s="62" t="s">
        <v>67</v>
      </c>
      <c r="B15" s="62"/>
      <c r="C15" s="62"/>
      <c r="D15" s="62"/>
      <c r="E15" s="62"/>
      <c r="F15" s="62"/>
      <c r="G15" s="62"/>
      <c r="H15" s="62"/>
      <c r="I15" s="62"/>
      <c r="J15" s="19">
        <f>SUM(J6:J14)</f>
        <v>0</v>
      </c>
    </row>
    <row r="16" spans="1:11" ht="25.5" customHeight="1" x14ac:dyDescent="0.35">
      <c r="A16" s="62" t="s">
        <v>68</v>
      </c>
      <c r="B16" s="62"/>
      <c r="C16" s="62"/>
      <c r="D16" s="62"/>
      <c r="E16" s="62"/>
      <c r="F16" s="62"/>
      <c r="G16" s="62"/>
      <c r="H16" s="62"/>
      <c r="I16" s="62"/>
      <c r="J16" s="20">
        <f>IFERROR(VLOOKUP(ROUND(J15,0),'Tabla Conversión'!A:B,2,FALSE()),"—")</f>
        <v>1</v>
      </c>
    </row>
    <row r="18" spans="1:11" ht="15" customHeight="1" x14ac:dyDescent="0.35">
      <c r="A18" s="59" t="s">
        <v>69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</row>
  </sheetData>
  <mergeCells count="12">
    <mergeCell ref="A1:K1"/>
    <mergeCell ref="A2:K2"/>
    <mergeCell ref="A3:D3"/>
    <mergeCell ref="E3:G3"/>
    <mergeCell ref="H3:I3"/>
    <mergeCell ref="J3:K3"/>
    <mergeCell ref="A18:K18"/>
    <mergeCell ref="A4:K4"/>
    <mergeCell ref="A6:K6"/>
    <mergeCell ref="A10:K10"/>
    <mergeCell ref="A15:I15"/>
    <mergeCell ref="A16:I16"/>
  </mergeCells>
  <conditionalFormatting sqref="J16">
    <cfRule type="cellIs" dxfId="2" priority="2" operator="greaterThanOrEqual">
      <formula>4</formula>
    </cfRule>
    <cfRule type="cellIs" dxfId="1" priority="3" operator="between">
      <formula>3</formula>
      <formula>3.9</formula>
    </cfRule>
    <cfRule type="cellIs" dxfId="0" priority="4" operator="lessThan">
      <formula>3</formula>
    </cfRule>
  </conditionalFormatting>
  <dataValidations count="1">
    <dataValidation type="list" allowBlank="1" sqref="I7:I9 I11:I14" xr:uid="{00000000-0002-0000-0000-000000000000}">
      <formula1>"Muy buen desempeño (100%),Buen desempeño (80%),Desempeño aceptable (60%),Desempeño incipiente (30%),Desempeño no logrado (0%)"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Checklist Estudiante</vt:lpstr>
      <vt:lpstr>Coevaluación</vt:lpstr>
      <vt:lpstr>Tabla Conversión</vt:lpstr>
      <vt:lpstr>Planilla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IGNACIO ANDRES ARNTZ GUERRA</cp:lastModifiedBy>
  <cp:revision>0</cp:revision>
  <dcterms:created xsi:type="dcterms:W3CDTF">2026-05-28T13:39:24Z</dcterms:created>
  <dcterms:modified xsi:type="dcterms:W3CDTF">2026-06-04T00:12:34Z</dcterms:modified>
  <dc:language>en-US</dc:language>
</cp:coreProperties>
</file>